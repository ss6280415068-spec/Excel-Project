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hidePivotFieldList="1"/>
  <mc:AlternateContent xmlns:mc="http://schemas.openxmlformats.org/markup-compatibility/2006">
    <mc:Choice Requires="x15">
      <x15ac:absPath xmlns:x15ac="http://schemas.microsoft.com/office/spreadsheetml/2010/11/ac" url="C:\Users\shubham\Downloads\"/>
    </mc:Choice>
  </mc:AlternateContent>
  <xr:revisionPtr revIDLastSave="0" documentId="13_ncr:1_{0D7E107B-F78F-4EAE-9C52-1F258745E637}" xr6:coauthVersionLast="47" xr6:coauthVersionMax="47" xr10:uidLastSave="{00000000-0000-0000-0000-000000000000}"/>
  <bookViews>
    <workbookView xWindow="-108" yWindow="-108" windowWidth="23256" windowHeight="13176" xr2:uid="{26D4546B-D2A1-4444-8EAF-A6228F96F0C1}"/>
  </bookViews>
  <sheets>
    <sheet name="Pivorts" sheetId="6" r:id="rId1"/>
    <sheet name="Data" sheetId="2" r:id="rId2"/>
    <sheet name="Customer Centre Report" sheetId="5" r:id="rId3"/>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4"/>
    <pivotCache cacheId="1" r:id="rId5"/>
    <pivotCache cacheId="2" r:id="rId6"/>
    <pivotCache cacheId="3" r:id="rId7"/>
    <pivotCache cacheId="4" r:id="rId8"/>
    <pivotCache cacheId="5" r:id="rId9"/>
    <pivotCache cacheId="89" r:id="rId10"/>
    <pivotCache cacheId="92" r:id="rId11"/>
    <pivotCache cacheId="95" r:id="rId12"/>
    <pivotCache cacheId="98" r:id="rId13"/>
    <pivotCache cacheId="101"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1" i="5" l="1" a="1"/>
  <c r="P22" i="5" a="1"/>
  <c r="J48" i="6"/>
  <c r="H52" i="6"/>
  <c r="I52" i="6"/>
  <c r="H53" i="6"/>
  <c r="I53" i="6"/>
  <c r="H54" i="6"/>
  <c r="I54" i="6"/>
  <c r="H55" i="6"/>
  <c r="I55" i="6"/>
  <c r="H56" i="6"/>
  <c r="I56" i="6"/>
  <c r="G53" i="6"/>
  <c r="G54" i="6"/>
  <c r="G55" i="6"/>
  <c r="G56" i="6"/>
  <c r="G52"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Q21" i="5" l="1"/>
  <c r="P22" i="5"/>
  <c r="K54" i="6"/>
  <c r="K56" i="6"/>
  <c r="J53" i="6"/>
  <c r="J55" i="6"/>
  <c r="J56" i="6"/>
  <c r="J52" i="6"/>
  <c r="K53" i="6"/>
  <c r="K55" i="6"/>
  <c r="K52" i="6"/>
  <c r="J5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3F2E78-A52D-4F31-AA01-B0AE7ACCAA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B5F7F8C-C694-4BEF-B3CB-55EA782B1BBA}"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262C3094-4B17-41B6-8128-1519521D6793}"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<sst xmlns="http://schemas.openxmlformats.org/spreadsheetml/2006/main" count="3157" uniqueCount="1077">
  <si>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</si>
  <si>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</si>
  <si>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</si>
  <si>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</si>
  <si>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</si>
  <si>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</si>
  <si>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</si>
  <si>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</si>
  <si>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</si>
  <si>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</si>
  <si>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</si>
  <si>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</si>
  <si>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</si>
  <si>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</si>
  <si>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</si>
  <si>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</si>
  <si>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</si>
  <si>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</si>
  <si>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</si>
  <si>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</si>
  <si>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</si>
  <si>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</si>
  <si>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</si>
  <si>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</si>
  <si>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</si>
  <si>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</si>
  <si>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</si>
  <si>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</si>
  <si>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</si>
  <si>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</si>
  <si>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</si>
  <si>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</si>
  <si>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</si>
  <si>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</si>
  <si>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</si>
  <si>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</si>
  <si>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</si>
  <si>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</si>
  <si>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</si>
  <si>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</si>
  <si>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</si>
  <si>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</si>
  <si>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</si>
  <si>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</si>
  <si>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</si>
  <si>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</si>
  <si>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</si>
  <si>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</si>
  <si>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</si>
  <si>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</si>
  <si>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</si>
  <si>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</si>
  <si>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</si>
  <si>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</si>
  <si>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</si>
  <si>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</si>
  <si>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</si>
  <si>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</si>
  <si>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</si>
  <si>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</si>
  <si>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</si>
  <si>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</si>
  <si>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</si>
  <si>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</si>
  <si>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</si>
  <si>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</si>
  <si>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</si>
  <si>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</si>
  <si>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</si>
  <si>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</si>
  <si>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</si>
  <si>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</si>
  <si>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</si>
  <si>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</si>
  <si>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</si>
  <si>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</si>
  <si>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</si>
  <si>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</si>
  <si>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</si>
  <si>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</si>
  <si>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</si>
  <si>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</si>
  <si>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</si>
  <si>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</si>
  <si>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</si>
  <si>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</si>
  <si>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</si>
  <si>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</si>
  <si>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</si>
  <si>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</si>
  <si>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</si>
  <si>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</si>
  <si>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</si>
  <si>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</si>
  <si>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</si>
  <si>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</si>
  <si>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</si>
  <si>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</si>
  <si>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</si>
  <si>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</si>
  <si>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</si>
  <si>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</si>
  <si>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</si>
  <si>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</si>
  <si>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</si>
  <si>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</si>
  <si>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</si>
  <si>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</si>
  <si>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</si>
  <si>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</si>
  <si>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</si>
  <si>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</si>
  <si>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</si>
  <si>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</si>
  <si>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</si>
  <si>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</si>
  <si>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</si>
  <si>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</si>
  <si>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</si>
  <si>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</si>
  <si>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</si>
  <si>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</si>
  <si>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</si>
  <si>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</si>
  <si>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</si>
  <si>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</si>
  <si>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</si>
  <si>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</si>
  <si>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</si>
  <si>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</si>
  <si>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</si>
  <si>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</si>
  <si>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</si>
  <si>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</si>
  <si>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</si>
  <si>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</si>
  <si>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</si>
  <si>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</si>
  <si>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</si>
  <si>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</si>
  <si>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</si>
  <si>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</si>
  <si>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</si>
  <si>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</si>
  <si>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</si>
  <si>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</si>
  <si>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</si>
  <si>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</si>
  <si>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</si>
  <si>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</si>
  <si>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</si>
  <si>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</si>
  <si>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</si>
  <si>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</si>
  <si>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</si>
  <si>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</si>
  <si>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</si>
  <si>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</si>
  <si>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</si>
  <si>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</si>
  <si>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</si>
  <si>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</si>
  <si>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</si>
  <si>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</si>
  <si>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</si>
  <si>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</si>
  <si>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</si>
  <si>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</si>
  <si>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</si>
  <si>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</si>
  <si>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</si>
  <si>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</si>
  <si>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</si>
  <si>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</si>
  <si>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</si>
  <si>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</si>
  <si>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</si>
  <si>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</si>
  <si>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</si>
  <si>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</si>
  <si>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</si>
  <si>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</si>
  <si>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</si>
  <si>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</si>
  <si>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</si>
  <si>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</si>
  <si>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</si>
  <si>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</si>
  <si>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</si>
  <si>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</si>
  <si>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</si>
  <si>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</si>
  <si>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</si>
  <si>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</si>
  <si>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</si>
  <si>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</si>
  <si>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</si>
  <si>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</si>
  <si>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</si>
  <si>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</si>
  <si>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</si>
  <si>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</si>
  <si>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</si>
  <si>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</si>
  <si>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</si>
  <si>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</si>
  <si>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</si>
  <si>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</si>
  <si>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</si>
  <si>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</si>
  <si>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</si>
  <si>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</si>
  <si>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</si>
  <si>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</si>
  <si>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</si>
  <si>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</si>
  <si>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</si>
  <si>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</si>
  <si>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</si>
  <si>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</si>
  <si>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</si>
  <si>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</si>
  <si>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</si>
  <si>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</si>
  <si>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</si>
  <si>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</si>
  <si>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</si>
  <si>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</si>
  <si>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</si>
  <si>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</si>
  <si>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</si>
  <si>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</si>
  <si>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</si>
  <si>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</si>
  <si>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</si>
  <si>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</si>
  <si>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</si>
  <si>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</si>
  <si>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</si>
  <si>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</si>
  <si>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</si>
  <si>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</si>
  <si>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</si>
  <si>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</si>
  <si>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</si>
  <si>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</si>
  <si>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</si>
  <si>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</si>
  <si>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</si>
  <si>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</si>
  <si>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</si>
  <si>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</si>
  <si>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</si>
  <si>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</si>
  <si>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</si>
  <si>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</si>
  <si>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</si>
  <si>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</si>
  <si>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</si>
  <si>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</si>
  <si>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</si>
  <si>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</si>
  <si>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</si>
  <si>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</si>
  <si>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</si>
  <si>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</si>
  <si>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</si>
  <si>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</si>
  <si>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</si>
  <si>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</si>
  <si>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</si>
  <si>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</si>
  <si>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</si>
  <si>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</si>
  <si>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</si>
  <si>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</si>
  <si>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</si>
  <si>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</si>
  <si>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</si>
  <si>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</si>
  <si>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</si>
  <si>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</si>
  <si>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</si>
  <si>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</si>
  <si>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</si>
  <si>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</si>
  <si>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</si>
  <si>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</si>
  <si>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</si>
  <si>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</si>
  <si>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</si>
  <si>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</si>
  <si>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</si>
  <si>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</si>
  <si>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</si>
  <si>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</si>
  <si>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</si>
  <si>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</si>
  <si>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</si>
  <si>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</si>
  <si>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</si>
  <si>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</si>
  <si>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</si>
  <si>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</si>
  <si>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</si>
  <si>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</si>
  <si>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</si>
  <si>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</si>
  <si>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</si>
  <si>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</si>
  <si>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</si>
  <si>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</si>
  <si>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</si>
  <si>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</si>
  <si>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</si>
  <si>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</si>
  <si>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</si>
  <si>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</si>
  <si>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</si>
  <si>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</si>
  <si>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</si>
  <si>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</si>
  <si>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</si>
  <si>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</si>
  <si>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</si>
  <si>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</si>
  <si>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</si>
  <si>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</si>
  <si>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</si>
  <si>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</si>
  <si>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</si>
  <si>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</si>
  <si>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</si>
  <si>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</si>
  <si>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</si>
  <si>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</si>
  <si>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</si>
  <si>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</si>
  <si>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</si>
  <si>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</si>
  <si>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</si>
  <si>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</si>
  <si>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</si>
  <si>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</si>
  <si>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</si>
  <si>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</si>
  <si>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</si>
  <si>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</si>
  <si>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</si>
  <si>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</si>
  <si>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</si>
  <si>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</si>
  <si>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</si>
  <si>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</si>
  <si>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</si>
  <si>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</si>
  <si>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</si>
  <si>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</si>
  <si>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</si>
  <si>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</si>
  <si>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</si>
  <si>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</si>
  <si>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</si>
  <si>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</si>
  <si>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</si>
  <si>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</si>
  <si>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</si>
  <si>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</si>
  <si>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</si>
  <si>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</si>
  <si>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</si>
  <si>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</si>
  <si>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</si>
  <si>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</si>
  <si>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</si>
  <si>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</si>
  <si>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</si>
  <si>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</si>
  <si>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</si>
  <si>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</si>
  <si>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</si>
  <si>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</si>
  <si>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</si>
  <si>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</si>
  <si>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</si>
  <si>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</si>
  <si>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</si>
  <si>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</si>
  <si>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</si>
  <si>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</si>
  <si>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</si>
  <si>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</si>
  <si>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</si>
  <si>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</si>
  <si>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</si>
  <si>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</si>
  <si>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</si>
  <si>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</si>
  <si>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</si>
  <si>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</si>
  <si>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</si>
  <si>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</si>
  <si>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</si>
  <si>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</si>
  <si>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</si>
  <si>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</si>
  <si>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</si>
  <si>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</si>
  <si>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</si>
  <si>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</si>
  <si>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</si>
  <si>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</si>
  <si>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</si>
  <si>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</si>
  <si>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</si>
  <si>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</si>
  <si>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</si>
  <si>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</si>
  <si>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</si>
  <si>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</si>
  <si>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</si>
  <si>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</si>
  <si>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</si>
  <si>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</si>
  <si>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</si>
  <si>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</si>
  <si>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</si>
  <si>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</si>
  <si>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</si>
  <si>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</si>
  <si>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</si>
  <si>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</si>
  <si>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</si>
  <si>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</si>
  <si>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</si>
  <si>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</si>
  <si>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</si>
  <si>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</si>
  <si>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</si>
  <si>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</si>
  <si>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</si>
  <si>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</si>
  <si>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</si>
  <si>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</si>
  <si>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</si>
  <si>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</si>
  <si>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</si>
  <si>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</si>
  <si>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</si>
  <si>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</si>
  <si>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</si>
  <si>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</si>
  <si>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</si>
  <si>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</si>
  <si>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</si>
  <si>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</si>
  <si>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</si>
  <si>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</si>
  <si>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</si>
  <si>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</si>
  <si>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</si>
  <si>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</si>
  <si>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</si>
  <si>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</si>
  <si>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</si>
  <si>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</si>
  <si>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</si>
  <si>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</si>
  <si>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</si>
  <si>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</si>
  <si>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</si>
  <si>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</si>
  <si>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</si>
  <si>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</si>
  <si>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</si>
  <si>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</si>
  <si>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</si>
  <si>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</si>
  <si>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</si>
  <si>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</si>
  <si>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</si>
  <si>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</si>
  <si>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</si>
  <si>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</si>
  <si>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</si>
  <si>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</si>
  <si>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</si>
  <si>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</si>
  <si>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</si>
  <si>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</si>
  <si>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</si>
  <si>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</si>
  <si>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</si>
  <si>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</si>
  <si>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</si>
  <si>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</si>
  <si>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</si>
  <si>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</si>
  <si>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</si>
  <si>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</si>
  <si>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</si>
  <si>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</si>
  <si>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</si>
  <si>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</si>
  <si>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</si>
  <si>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</si>
  <si>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</si>
  <si>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</si>
  <si>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</si>
  <si>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</si>
  <si>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</si>
  <si>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</si>
  <si>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</si>
  <si>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</si>
  <si>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</si>
  <si>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</si>
  <si>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</si>
  <si>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</si>
  <si>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</si>
  <si>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</si>
  <si>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</si>
  <si>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</si>
  <si>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</si>
  <si>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</si>
  <si>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</si>
  <si>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</si>
  <si>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</si>
  <si>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</si>
  <si>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</si>
  <si>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</si>
  <si>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</si>
  <si>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</si>
  <si>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</si>
  <si>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</si>
  <si>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</si>
  <si>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</si>
  <si>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</si>
  <si>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</si>
  <si>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</si>
  <si>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</si>
  <si>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</si>
  <si>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</si>
  <si>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</si>
  <si>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</si>
  <si>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</si>
  <si>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</si>
  <si>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</si>
  <si>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</si>
  <si>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</si>
  <si>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</si>
  <si>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</si>
  <si>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</si>
  <si>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</si>
  <si>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</si>
  <si>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</si>
  <si>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</si>
  <si>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</si>
  <si>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</si>
  <si>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</si>
  <si>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</si>
  <si>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</si>
  <si>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</si>
  <si>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</si>
  <si>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</si>
  <si>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</si>
  <si>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</si>
  <si>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</si>
  <si>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</si>
  <si>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</si>
  <si>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</si>
  <si>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</si>
  <si>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</si>
  <si>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</si>
  <si>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</si>
  <si>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</si>
  <si>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</si>
  <si>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</si>
  <si>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</si>
  <si>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</si>
  <si>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</si>
  <si>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</si>
  <si>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</si>
  <si>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</si>
  <si>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</si>
  <si>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</si>
  <si>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</si>
  <si>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</si>
  <si>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</si>
  <si>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</si>
  <si>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</si>
  <si>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</si>
  <si>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</si>
  <si>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</si>
  <si>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</si>
  <si>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</si>
  <si>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</si>
  <si>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</si>
  <si>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</si>
  <si>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</si>
  <si>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</si>
  <si>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</si>
  <si>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</si>
  <si>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</si>
  <si>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</si>
  <si>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</si>
  <si>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</si>
  <si>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</si>
  <si>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</si>
  <si>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</si>
  <si>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</si>
  <si>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</si>
  <si>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</si>
  <si>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</si>
  <si>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</si>
  <si>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</si>
  <si>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</si>
  <si>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</si>
  <si>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</si>
  <si>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</si>
  <si>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</si>
  <si>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</si>
  <si>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</si>
  <si>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</si>
  <si>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</si>
  <si>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</si>
  <si>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</si>
  <si>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</si>
  <si>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</si>
  <si>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</si>
  <si>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</si>
  <si>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</si>
  <si>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</si>
  <si>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</si>
  <si>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</si>
  <si>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</si>
  <si>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</si>
  <si>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</si>
  <si>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</si>
  <si>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</si>
  <si>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</si>
  <si>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</si>
  <si>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</si>
  <si>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</si>
  <si>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</si>
  <si>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</si>
  <si>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</si>
  <si>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</si>
  <si>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</si>
  <si>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</si>
  <si>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</si>
  <si>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</si>
  <si>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</si>
  <si>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</si>
  <si>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</si>
  <si>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</si>
  <si>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</si>
  <si>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</si>
  <si>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</si>
  <si>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</si>
  <si>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</si>
  <si>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</si>
  <si>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</si>
  <si>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</si>
  <si>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</si>
  <si>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</si>
  <si>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</si>
  <si>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</si>
  <si>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</si>
  <si>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</si>
  <si>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</si>
  <si>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</si>
  <si>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</si>
  <si>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</si>
  <si>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</si>
  <si>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</si>
  <si>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</si>
  <si>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</si>
  <si>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</si>
  <si>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</si>
  <si>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</si>
  <si>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</si>
  <si>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</si>
  <si>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</si>
  <si>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</si>
  <si>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</si>
  <si>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</si>
  <si>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</si>
  <si>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</si>
  <si>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</si>
  <si>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</si>
  <si>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</si>
  <si>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</si>
  <si>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</si>
  <si>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</si>
  <si>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</si>
  <si>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</si>
  <si>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</si>
  <si>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</si>
  <si>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</si>
  <si>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</si>
  <si>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</si>
  <si>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</si>
  <si>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</si>
  <si>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</si>
  <si>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</si>
  <si>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</si>
  <si>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</si>
  <si>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</si>
  <si>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</si>
  <si>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</si>
  <si>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</si>
  <si>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</si>
  <si>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</si>
  <si>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</si>
  <si>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</si>
  <si>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</si>
  <si>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</si>
  <si>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</si>
  <si>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</si>
  <si>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</si>
  <si>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</si>
  <si>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</si>
  <si>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</si>
  <si>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</si>
  <si>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</si>
  <si>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</si>
  <si>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</si>
  <si>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</si>
  <si>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</si>
  <si>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</si>
  <si>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</si>
  <si>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</si>
  <si>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</si>
  <si>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</si>
  <si>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</si>
  <si>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</si>
  <si>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</si>
  <si>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</si>
  <si>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</si>
  <si>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</si>
  <si>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</si>
  <si>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</si>
  <si>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</si>
  <si>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</si>
  <si>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</si>
  <si>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</si>
  <si>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</si>
  <si>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</si>
  <si>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</si>
  <si>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</si>
  <si>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</si>
  <si>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</si>
  <si>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</si>
  <si>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</si>
  <si>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</si>
  <si>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</si>
  <si>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</si>
  <si>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</si>
  <si>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</si>
  <si>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</si>
  <si>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</si>
  <si>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</si>
  <si>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</si>
  <si>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</si>
  <si>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</si>
  <si>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</si>
  <si>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</si>
  <si>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</si>
  <si>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</si>
  <si>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</si>
  <si>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</si>
  <si>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</si>
  <si>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</si>
  <si>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</si>
  <si>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</si>
  <si>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</si>
  <si>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</si>
  <si>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</si>
  <si>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</si>
  <si>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</si>
  <si>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</si>
  <si>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</si>
  <si>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</si>
  <si>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</si>
  <si>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</si>
  <si>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</si>
  <si>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</si>
  <si>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</si>
  <si>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</si>
  <si>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</si>
  <si>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</si>
  <si>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</si>
  <si>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</si>
  <si>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</si>
  <si>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</si>
  <si>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</si>
  <si>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</si>
  <si>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</si>
  <si>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</si>
  <si>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</si>
  <si>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</si>
  <si>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</si>
  <si>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</si>
  <si>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</si>
  <si>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</si>
  <si>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</si>
  <si>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</si>
  <si>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</si>
  <si>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</si>
  <si>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</si>
  <si>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</si>
  <si>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</si>
  <si>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</si>
  <si>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</si>
  <si>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</si>
  <si>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</si>
  <si>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</si>
  <si>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</si>
  <si>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</si>
  <si>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</si>
  <si>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</si>
  <si>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</si>
  <si>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</si>
  <si>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</si>
  <si>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</si>
  <si>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</si>
  <si>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</si>
  <si>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</si>
  <si>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</si>
  <si>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</si>
  <si>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</si>
  <si>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</si>
  <si>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</si>
  <si>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</si>
  <si>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</si>
  <si>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</si>
  <si>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</si>
  <si>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</si>
  <si>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</si>
  <si>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</si>
  <si>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</si>
  <si>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</si>
  <si>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</si>
  <si>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</si>
  <si>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</si>
  <si>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</si>
  <si>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</si>
  <si>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</si>
  <si>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</si>
  <si>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</si>
  <si>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</si>
  <si>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</si>
  <si>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</si>
  <si>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</si>
  <si>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</si>
  <si>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</si>
  <si>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</si>
  <si>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</si>
  <si>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</si>
  <si>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</si>
  <si>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</si>
  <si>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</si>
  <si>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</si>
  <si>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</si>
  <si>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</si>
  <si>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</si>
  <si>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</si>
  <si>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</si>
  <si>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</si>
  <si>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</si>
  <si>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</si>
  <si>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</si>
  <si>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</si>
  <si>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</si>
  <si>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</si>
  <si>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</si>
  <si>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</si>
  <si>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</si>
  <si>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</si>
  <si>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</si>
  <si>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</si>
  <si>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</si>
  <si>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</si>
  <si>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</si>
  <si>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</si>
  <si>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</si>
  <si>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</si>
  <si>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</si>
  <si>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</si>
  <si>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</si>
  <si>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</si>
  <si>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</si>
  <si>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</si>
  <si>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</si>
  <si>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</si>
  <si>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</si>
  <si>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</si>
  <si>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</si>
  <si>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</si>
  <si>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</si>
  <si>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</si>
  <si>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</si>
  <si>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</si>
  <si>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</si>
  <si>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</si>
  <si>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</si>
  <si>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</si>
  <si>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</si>
  <si>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</si>
  <si>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</si>
  <si>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</si>
  <si>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</si>
  <si>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</si>
  <si>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</si>
  <si>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</si>
  <si>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</si>
  <si>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</si>
  <si>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</si>
  <si>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</si>
  <si>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</si>
  <si>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</si>
  <si>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</si>
  <si>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</si>
  <si>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</si>
  <si>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</si>
  <si>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</si>
  <si>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</si>
  <si>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</si>
  <si>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</si>
  <si>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</si>
  <si>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</si>
  <si>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</si>
  <si>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</si>
  <si>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</si>
  <si>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</si>
  <si>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</si>
  <si>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</si>
  <si>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</si>
  <si>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</si>
  <si>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</si>
  <si>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</si>
  <si>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</si>
  <si>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</si>
  <si>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</si>
  <si>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</si>
  <si>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</si>
  <si>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</si>
  <si>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</si>
  <si>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</si>
  <si>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</si>
  <si>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</si>
  <si>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</si>
  <si>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</si>
  <si>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</si>
  <si>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</si>
  <si>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</si>
  <si>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</si>
  <si>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</si>
  <si>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</si>
  <si>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</si>
  <si>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</si>
  <si>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</si>
  <si>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</si>
  <si>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</si>
  <si>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</si>
  <si>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</si>
  <si>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</si>
  <si>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</si>
  <si>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</si>
  <si>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</si>
  <si>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</si>
  <si>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</si>
  <si>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</si>
  <si>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</si>
  <si>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</si>
  <si>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</si>
  <si>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</si>
  <si>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</si>
  <si>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</si>
  <si>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</si>
  <si>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</si>
  <si>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</si>
  <si>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</si>
  <si>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</si>
  <si>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</si>
  <si>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</si>
  <si>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</si>
  <si>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</si>
  <si>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</si>
  <si>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</si>
  <si>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</si>
  <si>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</si>
  <si>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</si>
  <si>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</si>
  <si>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</si>
  <si>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</si>
  <si>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</si>
  <si>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</si>
  <si>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</si>
  <si>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</si>
  <si>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</si>
  <si>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</si>
  <si>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</si>
  <si>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</si>
  <si>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</si>
  <si>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</si>
  <si>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</si>
  <si>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</si>
  <si>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</si>
  <si>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</si>
  <si>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</si>
  <si>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</si>
  <si>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</si>
  <si>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</si>
  <si>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</si>
  <si>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</si>
  <si>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</si>
  <si>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</si>
  <si>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</si>
  <si>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</si>
  <si>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</si>
  <si>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</si>
  <si>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</si>
  <si>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</si>
  <si>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</si>
  <si>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</si>
  <si>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</si>
  <si>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</si>
  <si>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</si>
  <si>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</si>
  <si>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</si>
  <si>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</si>
  <si>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</si>
  <si>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</si>
  <si>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</si>
  <si>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</si>
  <si>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</si>
  <si>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</si>
  <si>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</si>
  <si>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</si>
  <si>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</si>
  <si>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</si>
  <si>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</si>
  <si>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</si>
  <si>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</si>
  <si>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</si>
  <si>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</si>
  <si>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</si>
  <si>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</si>
  <si>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</si>
  <si>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</si>
  <si>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</si>
  <si>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</si>
  <si>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</si>
  <si>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</si>
  <si>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</si>
  <si>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</si>
  <si>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</si>
  <si>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</si>
  <si>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</si>
  <si>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</si>
  <si>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</si>
  <si>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</si>
  <si>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</si>
  <si>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</si>
  <si>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</si>
  <si>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</si>
  <si>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</si>
  <si>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</si>
  <si>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</si>
  <si>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</si>
  <si>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Sel.Calls</t>
  </si>
  <si>
    <t>Sel.amount</t>
  </si>
  <si>
    <t>Selected Rep</t>
  </si>
  <si>
    <t>Column Labels</t>
  </si>
  <si>
    <t>Sum of Satisfaction Rating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</si>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</sst>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1009]#,##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tint="-4.9989318521683403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style="thin">
        <color rgb="FF999999"/>
      </right>
      <top style="thin">
        <color rgb="FF999999"/>
      </top>
      <bottom style="thin">
        <color rgb="FF999999"/>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10" xfId="0" applyBorder="1"/>
    <xf numFmtId="0" fontId="0" fillId="4" borderId="0" xfId="0" applyFill="1" applyAlignment="1">
      <alignment horizontal="left"/>
    </xf>
    <xf numFmtId="0" fontId="0" fillId="0" borderId="0" xfId="0" applyAlignment="1">
      <alignment horizontal="left" indent="1"/>
    </xf>
    <xf numFmtId="0" fontId="0" fillId="5" borderId="11" xfId="0" applyFill="1" applyBorder="1"/>
    <xf numFmtId="0" fontId="0" fillId="5" borderId="12" xfId="0" applyFill="1" applyBorder="1"/>
    <xf numFmtId="0" fontId="0" fillId="5" borderId="13" xfId="0" applyFill="1" applyBorder="1"/>
    <xf numFmtId="0" fontId="4" fillId="5" borderId="14" xfId="0" applyFont="1" applyFill="1" applyBorder="1"/>
    <xf numFmtId="0" fontId="4" fillId="5" borderId="0" xfId="0" applyFont="1" applyFill="1"/>
    <xf numFmtId="0" fontId="4" fillId="5" borderId="15" xfId="0" applyFont="1" applyFill="1" applyBorder="1"/>
    <xf numFmtId="0" fontId="4" fillId="5" borderId="14" xfId="0" applyFont="1" applyFill="1" applyBorder="1" applyAlignment="1">
      <alignment horizontal="left" indent="1"/>
    </xf>
    <xf numFmtId="168" fontId="4" fillId="5" borderId="0" xfId="0" applyNumberFormat="1" applyFont="1" applyFill="1"/>
    <xf numFmtId="168" fontId="4" fillId="5" borderId="15" xfId="0" applyNumberFormat="1" applyFont="1" applyFill="1" applyBorder="1"/>
    <xf numFmtId="0" fontId="4" fillId="5" borderId="16" xfId="0" applyFont="1" applyFill="1" applyBorder="1" applyAlignment="1">
      <alignment horizontal="left" indent="1"/>
    </xf>
    <xf numFmtId="168" fontId="4" fillId="5" borderId="17" xfId="0" applyNumberFormat="1" applyFont="1" applyFill="1" applyBorder="1"/>
    <xf numFmtId="168" fontId="4" fillId="5" borderId="18" xfId="0" applyNumberFormat="1" applyFont="1" applyFill="1" applyBorder="1"/>
  </cellXfs>
  <cellStyles count="1">
    <cellStyle name="Normal" xfId="0" builtinId="0"/>
  </cellStyles>
  <dxfs count="19">
    <dxf>
      <fill>
        <patternFill>
          <bgColor theme="9" tint="0.59996337778862885"/>
        </patternFill>
      </fill>
      <border>
        <left style="thin">
          <color theme="1" tint="0.34998626667073579"/>
        </left>
        <right style="thin">
          <color theme="1" tint="0.34998626667073579"/>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DAE6E3D5-D404-4A64-BD8B-7A2944637A48}">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06/relationships/rdRichValueTypes" Target="richData/rdRichValueType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17/06/relationships/rdRichValueStructure" Target="richData/rdrichvaluestructure.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[07.sample-data-excel-portfolio-project.xlsx]Pivorts!Weekday Trend</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s>
    <c:plotArea>
      <c:layout/>
      <c:barChart>
        <c:barDir val="bar"/>
        <c:grouping val="clustered"/>
        <c:varyColors val="0"/>
        <c:ser>
          <c:idx val="0"/>
          <c:order val="0"/>
          <c:tx>
            <c:strRef>
              <c:f>Pivorts!$I$26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Pivorts!$H$27:$H$34</c:f>
              <c:strCache>
                <c:ptCount val="7"/>
                <c:pt idx="0">
                  <c:v>Sunday</c:v>
                </c:pt>
                <c:pt idx="1">
                  <c:v>Monday</c:v>
                </c:pt>
                <c:pt idx="2">
                  <c:v>Tuesday</c:v>
                </c:pt>
                <c:pt idx="3">
                  <c:v>Wednesday</c:v>
                </c:pt>
                <c:pt idx="4">
                  <c:v>Thursday</c:v>
                </c:pt>
                <c:pt idx="5">
                  <c:v>Friday</c:v>
                </c:pt>
                <c:pt idx="6">
                  <c:v>Saturday</c:v>
                </c:pt>
              </c:strCache>
            </c:strRef>
          </c:cat>
          <c:val>
            <c:numRef>
              <c:f>Pivorts!$I$27:$I$34</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5092-4D89-A5C7-99ECCAE40449}"/>
            </c:ext>
          </c:extLst>
        </c:ser>
        <c:dLbls>
          <c:showLegendKey val="0"/>
          <c:showVal val="0"/>
          <c:showCatName val="0"/>
          <c:showSerName val="0"/>
          <c:showPercent val="0"/>
          <c:showBubbleSize val="0"/>
        </c:dLbls>
        <c:gapWidth val="25"/>
        <c:axId val="935852719"/>
        <c:axId val="935853679"/>
      </c:barChart>
      <c:catAx>
        <c:axId val="935852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53679"/>
        <c:crosses val="autoZero"/>
        <c:auto val="1"/>
        <c:lblAlgn val="ctr"/>
        <c:lblOffset val="100"/>
        <c:noMultiLvlLbl val="0"/>
      </c:catAx>
      <c:valAx>
        <c:axId val="93585367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93585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[07.sample-data-excel-portfolio-project.xlsx]Pivorts!Monthly Trend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6">
                    <a:lumMod val="75000"/>
                  </a:schemeClr>
                </a:solidFill>
              </a:rPr>
              <a:t>Call</a:t>
            </a:r>
            <a:r>
              <a:rPr lang="en-IN" b="1" baseline="0">
                <a:solidFill>
                  <a:schemeClr val="accent6">
                    <a:lumMod val="75000"/>
                  </a:schemeClr>
                </a:solidFill>
              </a:rPr>
              <a:t> Trend</a:t>
            </a:r>
            <a:endParaRPr lang="en-IN" b="1">
              <a:solidFill>
                <a:schemeClr val="accent6">
                  <a:lumMod val="75000"/>
                </a:schemeClr>
              </a:solidFill>
            </a:endParaRPr>
          </a:p>
        </c:rich>
      </c:tx>
      <c:layout>
        <c:manualLayout>
          <c:xMode val="edge"/>
          <c:yMode val="edge"/>
          <c:x val="4.6527777777777779E-2"/>
          <c:y val="2.43055409360810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 pos="100000">
                <a:schemeClr val="accent1">
                  <a:lumMod val="45000"/>
                  <a:lumOff val="55000"/>
                </a:schemeClr>
              </a:gs>
              <a:gs pos="100000">
                <a:schemeClr val="accent6">
                  <a:lumMod val="7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Pivorts!$C$26</c:f>
              <c:strCache>
                <c:ptCount val="1"/>
                <c:pt idx="0">
                  <c:v>Call Count2</c:v>
                </c:pt>
              </c:strCache>
            </c:strRef>
          </c:tx>
          <c:spPr>
            <a:gradFill flip="none" rotWithShape="1">
              <a:gsLst>
                <a:gs pos="0">
                  <a:schemeClr val="accent6">
                    <a:lumMod val="60000"/>
                    <a:lumOff val="40000"/>
                    <a:alpha val="50000"/>
                  </a:schemeClr>
                </a:gs>
                <a:gs pos="100000">
                  <a:schemeClr val="accent6"/>
                </a:gs>
                <a:gs pos="100000">
                  <a:schemeClr val="accent1">
                    <a:lumMod val="45000"/>
                    <a:lumOff val="55000"/>
                  </a:schemeClr>
                </a:gs>
                <a:gs pos="100000">
                  <a:schemeClr val="accent6">
                    <a:lumMod val="75000"/>
                  </a:schemeClr>
                </a:gs>
              </a:gsLst>
              <a:lin ang="16200000" scaled="1"/>
              <a:tileRect/>
            </a:gradFill>
            <a:ln>
              <a:noFill/>
            </a:ln>
            <a:effectLst/>
          </c:spPr>
          <c:cat>
            <c:strRef>
              <c:f>Pivorts!$A$27:$A$39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Pivorts!$C$27:$C$39</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E6B9-4C65-A827-ED8BFD3FE6F5}"/>
            </c:ext>
          </c:extLst>
        </c:ser>
        <c:dLbls>
          <c:showLegendKey val="0"/>
          <c:showVal val="0"/>
          <c:showCatName val="0"/>
          <c:showSerName val="0"/>
          <c:showPercent val="0"/>
          <c:showBubbleSize val="0"/>
        </c:dLbls>
        <c:axId val="885068063"/>
        <c:axId val="885069983"/>
      </c:areaChart>
      <c:lineChart>
        <c:grouping val="standard"/>
        <c:varyColors val="0"/>
        <c:ser>
          <c:idx val="0"/>
          <c:order val="0"/>
          <c:tx>
            <c:strRef>
              <c:f>Pivorts!$B$26</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Pivorts!$A$27:$A$39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Pivorts!$B$27:$B$39</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E6B9-4C65-A827-ED8BFD3FE6F5}"/>
            </c:ext>
          </c:extLst>
        </c:ser>
        <c:dLbls>
          <c:showLegendKey val="0"/>
          <c:showVal val="0"/>
          <c:showCatName val="0"/>
          <c:showSerName val="0"/>
          <c:showPercent val="0"/>
          <c:showBubbleSize val="0"/>
        </c:dLbls>
        <c:marker val="1"/>
        <c:smooth val="0"/>
        <c:axId val="885068063"/>
        <c:axId val="885069983"/>
      </c:lineChart>
      <c:catAx>
        <c:axId val="88506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069983"/>
        <c:crosses val="autoZero"/>
        <c:auto val="1"/>
        <c:lblAlgn val="ctr"/>
        <c:lblOffset val="100"/>
        <c:noMultiLvlLbl val="0"/>
      </c:catAx>
      <c:valAx>
        <c:axId val="885069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06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latin typeface="+mj-lt"/>
              </a:rPr>
              <a:t>Calls</a:t>
            </a:r>
          </a:p>
        </c:rich>
      </c:tx>
      <c:layout>
        <c:manualLayout>
          <c:xMode val="edge"/>
          <c:yMode val="edge"/>
          <c:x val="4.5275515258148338E-2"/>
          <c:y val="1.9047619047619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Pivorts!$G$52:$G$56</c:f>
              <c:strCache>
                <c:ptCount val="5"/>
                <c:pt idx="0">
                  <c:v>R01</c:v>
                </c:pt>
                <c:pt idx="1">
                  <c:v>R02</c:v>
                </c:pt>
                <c:pt idx="2">
                  <c:v>R03</c:v>
                </c:pt>
                <c:pt idx="3">
                  <c:v>R04</c:v>
                </c:pt>
                <c:pt idx="4">
                  <c:v>R05</c:v>
                </c:pt>
              </c:strCache>
            </c:strRef>
          </c:cat>
          <c:val>
            <c:numRef>
              <c:f>Pivorts!$H$52:$H$56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258-4C46-890F-AEE95F976531}"/>
            </c:ext>
          </c:extLst>
        </c:ser>
        <c:ser>
          <c:idx val="1"/>
          <c:order val="1"/>
          <c:tx>
            <c:strRef>
              <c:f>Pivorts!$J$51</c:f>
              <c:strCache>
                <c:ptCount val="1"/>
                <c:pt idx="0">
                  <c:v>Sel.Calls</c:v>
                </c:pt>
              </c:strCache>
            </c:strRef>
          </c:tx>
          <c:spPr>
            <a:gradFill flip="none" rotWithShape="1">
              <a:gsLst>
                <a:gs pos="0">
                  <a:schemeClr val="accent5">
                    <a:lumMod val="60000"/>
                    <a:lumOff val="40000"/>
                  </a:schemeClr>
                </a:gs>
                <a:gs pos="100000">
                  <a:schemeClr val="accent6"/>
                </a:gs>
                <a:gs pos="100000">
                  <a:schemeClr val="accent1">
                    <a:lumMod val="45000"/>
                    <a:lumOff val="55000"/>
                  </a:schemeClr>
                </a:gs>
                <a:gs pos="100000">
                  <a:schemeClr val="accent5"/>
                </a:gs>
              </a:gsLst>
              <a:lin ang="0" scaled="0"/>
              <a:tileRect/>
            </a:gradFill>
            <a:ln>
              <a:noFill/>
            </a:ln>
            <a:effectLst/>
          </c:spPr>
          <c:invertIfNegative val="0"/>
          <c:val>
            <c:numRef>
              <c:f>Pivorts!$J$52:$J$56</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A258-4C46-890F-AEE95F976531}"/>
            </c:ext>
          </c:extLst>
        </c:ser>
        <c:dLbls>
          <c:showLegendKey val="0"/>
          <c:showVal val="0"/>
          <c:showCatName val="0"/>
          <c:showSerName val="0"/>
          <c:showPercent val="0"/>
          <c:showBubbleSize val="0"/>
        </c:dLbls>
        <c:gapWidth val="25"/>
        <c:overlap val="100"/>
        <c:axId val="932451455"/>
        <c:axId val="932452415"/>
      </c:barChart>
      <c:catAx>
        <c:axId val="9324514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52415"/>
        <c:crosses val="autoZero"/>
        <c:auto val="1"/>
        <c:lblAlgn val="ctr"/>
        <c:lblOffset val="100"/>
        <c:noMultiLvlLbl val="0"/>
      </c:catAx>
      <c:valAx>
        <c:axId val="932452415"/>
        <c:scaling>
          <c:orientation val="minMax"/>
          <c:max val="250"/>
          <c:min val="0"/>
        </c:scaling>
        <c:delete val="1"/>
        <c:axPos val="t"/>
        <c:numFmt formatCode="General" sourceLinked="1"/>
        <c:majorTickMark val="none"/>
        <c:minorTickMark val="none"/>
        <c:tickLblPos val="nextTo"/>
        <c:crossAx val="93245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solidFill>
                <a:latin typeface="+mj-lt"/>
              </a:rPr>
              <a:t>Amount</a:t>
            </a:r>
          </a:p>
        </c:rich>
      </c:tx>
      <c:layout>
        <c:manualLayout>
          <c:xMode val="edge"/>
          <c:yMode val="edge"/>
          <c:x val="9.3071746342866551E-2"/>
          <c:y val="1.89999967585307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Pivorts!$G$52:$G$56</c:f>
              <c:strCache>
                <c:ptCount val="5"/>
                <c:pt idx="0">
                  <c:v>R01</c:v>
                </c:pt>
                <c:pt idx="1">
                  <c:v>R02</c:v>
                </c:pt>
                <c:pt idx="2">
                  <c:v>R03</c:v>
                </c:pt>
                <c:pt idx="3">
                  <c:v>R04</c:v>
                </c:pt>
                <c:pt idx="4">
                  <c:v>R05</c:v>
                </c:pt>
              </c:strCache>
            </c:strRef>
          </c:cat>
          <c:val>
            <c:numRef>
              <c:f>Pivorts!$I$52:$I$56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707-495A-B738-A80172476182}"/>
            </c:ext>
          </c:extLst>
        </c:ser>
        <c:ser>
          <c:idx val="1"/>
          <c:order val="1"/>
          <c:tx>
            <c:strRef>
              <c:f>Pivorts!$K$51</c:f>
              <c:strCache>
                <c:ptCount val="1"/>
                <c:pt idx="0">
                  <c:v>Sel.amount</c:v>
                </c:pt>
              </c:strCache>
            </c:strRef>
          </c:tx>
          <c:spPr>
            <a:gradFill>
              <a:gsLst>
                <a:gs pos="0">
                  <a:schemeClr val="accent6">
                    <a:lumMod val="60000"/>
                    <a:lumOff val="40000"/>
                  </a:schemeClr>
                </a:gs>
                <a:gs pos="100000">
                  <a:schemeClr val="accent6"/>
                </a:gs>
                <a:gs pos="100000">
                  <a:schemeClr val="accent1">
                    <a:lumMod val="45000"/>
                    <a:lumOff val="55000"/>
                  </a:schemeClr>
                </a:gs>
                <a:gs pos="100000">
                  <a:schemeClr val="accent6"/>
                </a:gs>
              </a:gsLst>
              <a:lin ang="0" scaled="0"/>
            </a:gradFill>
            <a:ln>
              <a:noFill/>
            </a:ln>
            <a:effectLst/>
          </c:spPr>
          <c:invertIfNegative val="0"/>
          <c:val>
            <c:numRef>
              <c:f>Pivorts!$K$52:$K$56</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E707-495A-B738-A80172476182}"/>
            </c:ext>
          </c:extLst>
        </c:ser>
        <c:dLbls>
          <c:showLegendKey val="0"/>
          <c:showVal val="0"/>
          <c:showCatName val="0"/>
          <c:showSerName val="0"/>
          <c:showPercent val="0"/>
          <c:showBubbleSize val="0"/>
        </c:dLbls>
        <c:gapWidth val="25"/>
        <c:overlap val="100"/>
        <c:axId val="932451455"/>
        <c:axId val="932452415"/>
      </c:barChart>
      <c:catAx>
        <c:axId val="932451455"/>
        <c:scaling>
          <c:orientation val="maxMin"/>
        </c:scaling>
        <c:delete val="1"/>
        <c:axPos val="l"/>
        <c:numFmt formatCode="General" sourceLinked="1"/>
        <c:majorTickMark val="none"/>
        <c:minorTickMark val="none"/>
        <c:tickLblPos val="nextTo"/>
        <c:crossAx val="932452415"/>
        <c:crosses val="autoZero"/>
        <c:auto val="1"/>
        <c:lblAlgn val="ctr"/>
        <c:lblOffset val="100"/>
        <c:noMultiLvlLbl val="0"/>
      </c:catAx>
      <c:valAx>
        <c:axId val="932452415"/>
        <c:scaling>
          <c:orientation val="minMax"/>
          <c:max val="25000"/>
          <c:min val="0"/>
        </c:scaling>
        <c:delete val="1"/>
        <c:axPos val="t"/>
        <c:numFmt formatCode="\$#,###.0,&quot;k&quot;" sourceLinked="1"/>
        <c:majorTickMark val="none"/>
        <c:minorTickMark val="none"/>
        <c:tickLblPos val="nextTo"/>
        <c:crossAx val="93245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[07.sample-data-excel-portfolio-project.xlsx]Pivorts!PivotTable6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lt1">
                <a:alpha val="50000"/>
              </a:schemeClr>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lt1">
                <a:alpha val="50000"/>
              </a:schemeClr>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r>
                  <a:rPr lang="en-US"/>
                  <a:t>6</a:t>
                </a:r>
              </a:p>
            </c:rich>
          </c:tx>
          <c:spPr>
            <a:solidFill>
              <a:schemeClr val="lt1">
                <a:alpha val="50000"/>
              </a:schemeClr>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10469065191347879"/>
          <c:y val="5.1202246405326439E-2"/>
          <c:w val="0.72623403324584423"/>
          <c:h val="0.84204505686789155"/>
        </c:manualLayout>
      </c:layout>
      <c:barChart>
        <c:barDir val="col"/>
        <c:grouping val="percentStacked"/>
        <c:varyColors val="0"/>
        <c:ser>
          <c:idx val="0"/>
          <c:order val="0"/>
          <c:tx>
            <c:strRef>
              <c:f>Pivorts!$I$68:$I$69</c:f>
              <c:strCache>
                <c:ptCount val="1"/>
                <c:pt idx="0">
                  <c:v>Female</c:v>
                </c:pt>
              </c:strCache>
            </c:strRef>
          </c:tx>
          <c:spPr>
            <a:solidFill>
              <a:schemeClr val="accent5"/>
            </a:solidFill>
            <a:ln>
              <a:noFill/>
            </a:ln>
            <a:effectLst/>
          </c:spPr>
          <c:invertIfNegative val="0"/>
          <c:dLbls>
            <c:spPr>
              <a:solidFill>
                <a:schemeClr val="lt1">
                  <a:alpha val="50000"/>
                </a:schemeClr>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Pivorts!$H$70:$H$73</c:f>
              <c:strCache>
                <c:ptCount val="3"/>
                <c:pt idx="0">
                  <c:v>Cincinnati</c:v>
                </c:pt>
                <c:pt idx="1">
                  <c:v>Cleveland</c:v>
                </c:pt>
                <c:pt idx="2">
                  <c:v>Columbus</c:v>
                </c:pt>
              </c:strCache>
            </c:strRef>
          </c:cat>
          <c:val>
            <c:numRef>
              <c:f>Pivorts!$I$70:$I$73</c:f>
              <c:numCache>
                <c:formatCode>#,##0</c:formatCode>
                <c:ptCount val="3"/>
                <c:pt idx="0">
                  <c:v>144</c:v>
                </c:pt>
                <c:pt idx="1">
                  <c:v>326</c:v>
                </c:pt>
                <c:pt idx="2">
                  <c:v>129</c:v>
                </c:pt>
              </c:numCache>
            </c:numRef>
          </c:val>
          <c:extLst>
            <c:ext xmlns:c16="http://schemas.microsoft.com/office/drawing/2014/chart" uri="{C3380CC4-5D6E-409C-BE32-E72D297353CC}">
              <c16:uniqueId val="{00000000-C030-4519-AD8A-03114DE40CE6}"/>
            </c:ext>
          </c:extLst>
        </c:ser>
        <c:ser>
          <c:idx val="1"/>
          <c:order val="1"/>
          <c:tx>
            <c:strRef>
              <c:f>Pivorts!$J$68:$J$69</c:f>
              <c:strCache>
                <c:ptCount val="1"/>
                <c:pt idx="0">
                  <c:v>Male</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C030-4519-AD8A-03114DE40CE6}"/>
              </c:ext>
            </c:extLst>
          </c:dPt>
          <c:dLbls>
            <c:dLbl>
              <c:idx val="1"/>
              <c:tx>
                <c:rich>
                  <a:bodyPr/>
                  <a:lstStyle/>
                  <a:p>
                    <a:r>
                      <a:rPr lang="en-US"/>
                      <a:t>6</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030-4519-AD8A-03114DE40CE6}"/>
                </c:ext>
              </c:extLst>
            </c:dLbl>
            <c:spPr>
              <a:solidFill>
                <a:schemeClr val="lt1">
                  <a:alpha val="50000"/>
                </a:schemeClr>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Pivorts!$H$70:$H$73</c:f>
              <c:strCache>
                <c:ptCount val="3"/>
                <c:pt idx="0">
                  <c:v>Cincinnati</c:v>
                </c:pt>
                <c:pt idx="1">
                  <c:v>Cleveland</c:v>
                </c:pt>
                <c:pt idx="2">
                  <c:v>Columbus</c:v>
                </c:pt>
              </c:strCache>
            </c:strRef>
          </c:cat>
          <c:val>
            <c:numRef>
              <c:f>Pivorts!$J$70:$J$73</c:f>
              <c:numCache>
                <c:formatCode>#,##0</c:formatCode>
                <c:ptCount val="3"/>
                <c:pt idx="0">
                  <c:v>132</c:v>
                </c:pt>
                <c:pt idx="1">
                  <c:v>63</c:v>
                </c:pt>
                <c:pt idx="2">
                  <c:v>206</c:v>
                </c:pt>
              </c:numCache>
            </c:numRef>
          </c:val>
          <c:extLst>
            <c:ext xmlns:c16="http://schemas.microsoft.com/office/drawing/2014/chart" uri="{C3380CC4-5D6E-409C-BE32-E72D297353CC}">
              <c16:uniqueId val="{00000001-C030-4519-AD8A-03114DE40CE6}"/>
            </c:ext>
          </c:extLst>
        </c:ser>
        <c:dLbls>
          <c:showLegendKey val="0"/>
          <c:showVal val="0"/>
          <c:showCatName val="0"/>
          <c:showSerName val="0"/>
          <c:showPercent val="0"/>
          <c:showBubbleSize val="0"/>
        </c:dLbls>
        <c:gapWidth val="25"/>
        <c:overlap val="100"/>
        <c:axId val="1040921807"/>
        <c:axId val="1040906447"/>
      </c:barChart>
      <c:catAx>
        <c:axId val="104092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906447"/>
        <c:crosses val="autoZero"/>
        <c:auto val="1"/>
        <c:lblAlgn val="ctr"/>
        <c:lblOffset val="100"/>
        <c:noMultiLvlLbl val="0"/>
      </c:catAx>
      <c:valAx>
        <c:axId val="1040906447"/>
        <c:scaling>
          <c:orientation val="minMax"/>
        </c:scaling>
        <c:delete val="1"/>
        <c:axPos val="l"/>
        <c:numFmt formatCode="0%" sourceLinked="1"/>
        <c:majorTickMark val="none"/>
        <c:minorTickMark val="none"/>
        <c:tickLblPos val="nextTo"/>
        <c:crossAx val="104092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[07.sample-data-excel-portfolio-project.xlsx]Pivorts!Rep Satisfction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solidFill>
                <a:latin typeface="+mj-lt"/>
              </a:rPr>
              <a:t>Rating</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pivotFmt>
    </c:pivotFmts>
    <c:plotArea>
      <c:layout/>
      <c:barChart>
        <c:barDir val="col"/>
        <c:grouping val="clustered"/>
        <c:varyColors val="0"/>
        <c:ser>
          <c:idx val="0"/>
          <c:order val="0"/>
          <c:tx>
            <c:strRef>
              <c:f>Pivorts!$S$68</c:f>
              <c:strCache>
                <c:ptCount val="1"/>
                <c:pt idx="0">
                  <c:v>Total</c:v>
                </c:pt>
              </c:strCache>
            </c:strRef>
          </c:tx>
          <c:spPr>
            <a:solidFill>
              <a:schemeClr val="accent1"/>
            </a:solidFill>
            <a:ln>
              <a:noFill/>
            </a:ln>
            <a:effectLst/>
          </c:spPr>
          <c:invertIfNegative val="0"/>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1-C49F-4988-A617-C53128544EDE}"/>
              </c:ext>
            </c:extLst>
          </c:dPt>
          <c:cat>
            <c:strRef>
              <c:f>Pivorts!$R$69:$R$73</c:f>
              <c:strCache>
                <c:ptCount val="4"/>
                <c:pt idx="0">
                  <c:v>2</c:v>
                </c:pt>
                <c:pt idx="1">
                  <c:v>3</c:v>
                </c:pt>
                <c:pt idx="2">
                  <c:v>4</c:v>
                </c:pt>
                <c:pt idx="3">
                  <c:v>5</c:v>
                </c:pt>
              </c:strCache>
            </c:strRef>
          </c:cat>
          <c:val>
            <c:numRef>
              <c:f>Pivorts!$S$69:$S$73</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C49F-4988-A617-C53128544EDE}"/>
            </c:ext>
          </c:extLst>
        </c:ser>
        <c:dLbls>
          <c:showLegendKey val="0"/>
          <c:showVal val="0"/>
          <c:showCatName val="0"/>
          <c:showSerName val="0"/>
          <c:showPercent val="0"/>
          <c:showBubbleSize val="0"/>
        </c:dLbls>
        <c:gapWidth val="10"/>
        <c:overlap val="-27"/>
        <c:axId val="933897295"/>
        <c:axId val="933897775"/>
      </c:barChart>
      <c:catAx>
        <c:axId val="93389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97775"/>
        <c:crosses val="autoZero"/>
        <c:auto val="1"/>
        <c:lblAlgn val="ctr"/>
        <c:lblOffset val="100"/>
        <c:noMultiLvlLbl val="0"/>
      </c:catAx>
      <c:valAx>
        <c:axId val="933897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9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32658</xdr:colOff>
      <xdr:row>0</xdr:row>
      <xdr:rowOff>185055</xdr:rowOff>
    </xdr:from>
    <xdr:to>
      <xdr:col>19</xdr:col>
      <xdr:colOff>522513</xdr:colOff>
      <xdr:row>2</xdr:row>
      <xdr:rowOff>163284</xdr:rowOff>
    </xdr:to>
    <xdr:sp macro="" textlink="">
      <xdr:nvSpPr>
        <xdr:cNvPr id="30" name="Rectangle 29">
          <a:extLst>
            <a:ext uri="{FF2B5EF4-FFF2-40B4-BE49-F238E27FC236}">
              <a16:creationId xmlns:a16="http://schemas.microsoft.com/office/drawing/2014/main" id="{4D847757-9BD5-E26C-8AD0-4896939E98EA}"/>
            </a:ext>
          </a:extLst>
        </xdr:cNvPr>
        <xdr:cNvSpPr/>
      </xdr:nvSpPr>
      <xdr:spPr>
        <a:xfrm>
          <a:off x="10951029" y="185055"/>
          <a:ext cx="1839684" cy="348343"/>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latin typeface="+mj-lt"/>
            </a:rPr>
            <a:t>Female</a:t>
          </a:r>
          <a:r>
            <a:rPr lang="en-IN" sz="1200" baseline="0">
              <a:solidFill>
                <a:schemeClr val="tx1"/>
              </a:solidFill>
              <a:latin typeface="+mj-lt"/>
            </a:rPr>
            <a:t> Vs Male caller</a:t>
          </a:r>
          <a:endParaRPr lang="en-IN" sz="1200">
            <a:solidFill>
              <a:schemeClr val="tx1"/>
            </a:solidFill>
            <a:latin typeface="+mj-lt"/>
          </a:endParaRPr>
        </a:p>
      </xdr:txBody>
    </xdr:sp>
    <xdr:clientData/>
  </xdr:twoCellAnchor>
  <xdr:twoCellAnchor editAs="oneCell">
    <xdr:from>
      <xdr:col>11</xdr:col>
      <xdr:colOff>636525</xdr:colOff>
      <xdr:row>23</xdr:row>
      <xdr:rowOff>44878</xdr:rowOff>
    </xdr:from>
    <xdr:to>
      <xdr:col>14</xdr:col>
      <xdr:colOff>79300</xdr:colOff>
      <xdr:row>34</xdr:row>
      <xdr:rowOff>42533</xdr:rowOff>
    </xdr:to>
    <mc:AlternateContent xmlns:mc="http://schemas.openxmlformats.org/markup-compatibility/2006" xmlns:a14="http://schemas.microsoft.com/office/drawing/2010/main">
      <mc:Choice Requires="a14">
        <xdr:graphicFrame macro="">
          <xdr:nvGraphicFramePr>
            <xdr:cNvPr id="22" name="Representative">
              <a:extLst>
                <a:ext uri="{FF2B5EF4-FFF2-40B4-BE49-F238E27FC236}">
                  <a16:creationId xmlns:a16="http://schemas.microsoft.com/office/drawing/2014/main" id="{463D238B-AE3C-4C59-B36D-B40E7F595454}"/>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207395" y="4362878"/>
              <a:ext cx="1463731" cy="2062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160420</xdr:colOff>
      <xdr:row>20</xdr:row>
      <xdr:rowOff>10025</xdr:rowOff>
    </xdr:from>
    <xdr:to>
      <xdr:col>12</xdr:col>
      <xdr:colOff>20877</xdr:colOff>
      <xdr:row>41</xdr:row>
      <xdr:rowOff>180473</xdr:rowOff>
    </xdr:to>
    <xdr:sp macro="" textlink="">
      <xdr:nvSpPr>
        <xdr:cNvPr id="28" name="Rectangle 27">
          <a:extLst>
            <a:ext uri="{FF2B5EF4-FFF2-40B4-BE49-F238E27FC236}">
              <a16:creationId xmlns:a16="http://schemas.microsoft.com/office/drawing/2014/main" id="{D5422623-2E90-F7E4-AF6F-7159DB1A93D7}"/>
            </a:ext>
          </a:extLst>
        </xdr:cNvPr>
        <xdr:cNvSpPr/>
      </xdr:nvSpPr>
      <xdr:spPr>
        <a:xfrm>
          <a:off x="2676064" y="3767833"/>
          <a:ext cx="4536840" cy="4116147"/>
        </a:xfrm>
        <a:prstGeom prst="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631372</xdr:colOff>
      <xdr:row>5</xdr:row>
      <xdr:rowOff>97972</xdr:rowOff>
    </xdr:from>
    <xdr:to>
      <xdr:col>15</xdr:col>
      <xdr:colOff>108857</xdr:colOff>
      <xdr:row>15</xdr:row>
      <xdr:rowOff>108859</xdr:rowOff>
    </xdr:to>
    <xdr:graphicFrame macro="">
      <xdr:nvGraphicFramePr>
        <xdr:cNvPr id="24" name="Chart 23">
          <a:extLst>
            <a:ext uri="{FF2B5EF4-FFF2-40B4-BE49-F238E27FC236}">
              <a16:creationId xmlns:a16="http://schemas.microsoft.com/office/drawing/2014/main" id="{1045F47B-33F3-431C-B213-2B5A57EAF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3</xdr:row>
      <xdr:rowOff>68580</xdr:rowOff>
    </xdr:from>
    <xdr:to>
      <xdr:col>4</xdr:col>
      <xdr:colOff>182880</xdr:colOff>
      <xdr:row>8</xdr:row>
      <xdr:rowOff>106680</xdr:rowOff>
    </xdr:to>
    <xdr:sp macro="" textlink="Pivorts!A4">
      <xdr:nvSpPr>
        <xdr:cNvPr id="2" name="Rectangle 1">
          <a:extLst>
            <a:ext uri="{FF2B5EF4-FFF2-40B4-BE49-F238E27FC236}">
              <a16:creationId xmlns:a16="http://schemas.microsoft.com/office/drawing/2014/main" id="{43B9D067-A7B1-FA8D-00BE-B84F8C4CD145}"/>
            </a:ext>
          </a:extLst>
        </xdr:cNvPr>
        <xdr:cNvSpPr/>
      </xdr:nvSpPr>
      <xdr:spPr>
        <a:xfrm>
          <a:off x="541020" y="617220"/>
          <a:ext cx="149352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FA095F-3456-4975-9257-82A5D5F9D426}" type="TxLink">
            <a:rPr lang="en-US" sz="2400" b="0" i="0" u="none" strike="noStrike">
              <a:ln>
                <a:noFill/>
              </a:ln>
              <a:solidFill>
                <a:schemeClr val="bg1"/>
              </a:solidFill>
              <a:latin typeface="+mj-lt"/>
            </a:rPr>
            <a:pPr algn="ctr"/>
            <a:t>1,000</a:t>
          </a:fld>
          <a:endParaRPr lang="en-US" sz="2400">
            <a:ln>
              <a:noFill/>
            </a:ln>
            <a:solidFill>
              <a:schemeClr val="bg1"/>
            </a:solidFill>
            <a:latin typeface="+mj-lt"/>
          </a:endParaRPr>
        </a:p>
      </xdr:txBody>
    </xdr:sp>
    <xdr:clientData/>
  </xdr:twoCellAnchor>
  <xdr:twoCellAnchor>
    <xdr:from>
      <xdr:col>2</xdr:col>
      <xdr:colOff>335280</xdr:colOff>
      <xdr:row>3</xdr:row>
      <xdr:rowOff>114300</xdr:rowOff>
    </xdr:from>
    <xdr:to>
      <xdr:col>3</xdr:col>
      <xdr:colOff>624840</xdr:colOff>
      <xdr:row>4</xdr:row>
      <xdr:rowOff>160020</xdr:rowOff>
    </xdr:to>
    <xdr:sp macro="" textlink="">
      <xdr:nvSpPr>
        <xdr:cNvPr id="3" name="TextBox 2">
          <a:extLst>
            <a:ext uri="{FF2B5EF4-FFF2-40B4-BE49-F238E27FC236}">
              <a16:creationId xmlns:a16="http://schemas.microsoft.com/office/drawing/2014/main" id="{8CBB7B96-C06B-2468-CE69-A13E96A6A892}"/>
            </a:ext>
          </a:extLst>
        </xdr:cNvPr>
        <xdr:cNvSpPr txBox="1"/>
      </xdr:nvSpPr>
      <xdr:spPr>
        <a:xfrm>
          <a:off x="845820" y="662940"/>
          <a:ext cx="9601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solidFill>
                <a:schemeClr val="bg1">
                  <a:lumMod val="95000"/>
                </a:schemeClr>
              </a:solidFill>
              <a:latin typeface="+mj-lt"/>
            </a:rPr>
            <a:t>Calls</a:t>
          </a:r>
        </a:p>
        <a:p>
          <a:endParaRPr lang="en-IN" sz="1100"/>
        </a:p>
      </xdr:txBody>
    </xdr:sp>
    <xdr:clientData/>
  </xdr:twoCellAnchor>
  <xdr:twoCellAnchor editAs="oneCell">
    <xdr:from>
      <xdr:col>2</xdr:col>
      <xdr:colOff>118606</xdr:colOff>
      <xdr:row>3</xdr:row>
      <xdr:rowOff>155908</xdr:rowOff>
    </xdr:from>
    <xdr:to>
      <xdr:col>2</xdr:col>
      <xdr:colOff>354468</xdr:colOff>
      <xdr:row>4</xdr:row>
      <xdr:rowOff>130269</xdr:rowOff>
    </xdr:to>
    <xdr:pic>
      <xdr:nvPicPr>
        <xdr:cNvPr id="4" name="Graphic 3" descr="Receiver with solid fill">
          <a:extLst>
            <a:ext uri="{FF2B5EF4-FFF2-40B4-BE49-F238E27FC236}">
              <a16:creationId xmlns:a16="http://schemas.microsoft.com/office/drawing/2014/main" id="{FCDD7453-6910-4B1E-8777-E8A6A4AF276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742784">
          <a:off x="629146" y="704548"/>
          <a:ext cx="235862" cy="157241"/>
        </a:xfrm>
        <a:prstGeom prst="rect">
          <a:avLst/>
        </a:prstGeom>
      </xdr:spPr>
    </xdr:pic>
    <xdr:clientData/>
  </xdr:twoCellAnchor>
  <xdr:twoCellAnchor>
    <xdr:from>
      <xdr:col>2</xdr:col>
      <xdr:colOff>266700</xdr:colOff>
      <xdr:row>6</xdr:row>
      <xdr:rowOff>167640</xdr:rowOff>
    </xdr:from>
    <xdr:to>
      <xdr:col>3</xdr:col>
      <xdr:colOff>662940</xdr:colOff>
      <xdr:row>8</xdr:row>
      <xdr:rowOff>7620</xdr:rowOff>
    </xdr:to>
    <xdr:sp macro="" textlink="Pivorts!A13">
      <xdr:nvSpPr>
        <xdr:cNvPr id="5" name="TextBox 4">
          <a:extLst>
            <a:ext uri="{FF2B5EF4-FFF2-40B4-BE49-F238E27FC236}">
              <a16:creationId xmlns:a16="http://schemas.microsoft.com/office/drawing/2014/main" id="{8F8D2A2F-936B-1E3D-3A1B-B486555AE99A}"/>
            </a:ext>
          </a:extLst>
        </xdr:cNvPr>
        <xdr:cNvSpPr txBox="1"/>
      </xdr:nvSpPr>
      <xdr:spPr>
        <a:xfrm>
          <a:off x="777240" y="1264920"/>
          <a:ext cx="10668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0A80C4-4F14-4BAB-B141-278B06BCC407}" type="TxLink">
            <a:rPr lang="en-US" sz="1100" b="0" i="0" u="none" strike="noStrike">
              <a:solidFill>
                <a:schemeClr val="bg1"/>
              </a:solidFill>
              <a:latin typeface="+mn-lt"/>
            </a:rPr>
            <a:pPr algn="ctr"/>
            <a:t>200</a:t>
          </a:fld>
          <a:endParaRPr lang="en-IN" sz="1100">
            <a:solidFill>
              <a:schemeClr val="bg1"/>
            </a:solidFill>
            <a:latin typeface="+mn-lt"/>
          </a:endParaRPr>
        </a:p>
      </xdr:txBody>
    </xdr:sp>
    <xdr:clientData/>
  </xdr:twoCellAnchor>
  <xdr:twoCellAnchor>
    <xdr:from>
      <xdr:col>2</xdr:col>
      <xdr:colOff>55517</xdr:colOff>
      <xdr:row>12</xdr:row>
      <xdr:rowOff>19595</xdr:rowOff>
    </xdr:from>
    <xdr:to>
      <xdr:col>4</xdr:col>
      <xdr:colOff>207917</xdr:colOff>
      <xdr:row>17</xdr:row>
      <xdr:rowOff>57695</xdr:rowOff>
    </xdr:to>
    <xdr:sp macro="" textlink="Pivorts!B4">
      <xdr:nvSpPr>
        <xdr:cNvPr id="6" name="Rectangle 5">
          <a:extLst>
            <a:ext uri="{FF2B5EF4-FFF2-40B4-BE49-F238E27FC236}">
              <a16:creationId xmlns:a16="http://schemas.microsoft.com/office/drawing/2014/main" id="{90A0FA01-A8FA-47A6-AA4E-6D40DAA1968B}"/>
            </a:ext>
          </a:extLst>
        </xdr:cNvPr>
        <xdr:cNvSpPr/>
      </xdr:nvSpPr>
      <xdr:spPr>
        <a:xfrm>
          <a:off x="567146" y="2240281"/>
          <a:ext cx="1502228" cy="96338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7BEDBA8-723D-47D7-AE90-2837B5BACA24}" type="TxLink">
            <a:rPr lang="en-US" sz="2400" b="0" i="0" u="none" strike="noStrike">
              <a:ln>
                <a:noFill/>
              </a:ln>
              <a:solidFill>
                <a:schemeClr val="bg1"/>
              </a:solidFill>
              <a:latin typeface="+mj-lt"/>
              <a:ea typeface="+mn-ea"/>
              <a:cs typeface="+mn-cs"/>
            </a:rPr>
            <a:pPr marL="0" indent="0" algn="ctr"/>
            <a:t>$96,623</a:t>
          </a:fld>
          <a:endParaRPr lang="en-US" sz="2400" b="0" i="0" u="none" strike="noStrike">
            <a:ln>
              <a:noFill/>
            </a:ln>
            <a:solidFill>
              <a:schemeClr val="bg1"/>
            </a:solidFill>
            <a:latin typeface="+mj-lt"/>
            <a:ea typeface="+mn-ea"/>
            <a:cs typeface="+mn-cs"/>
          </a:endParaRPr>
        </a:p>
      </xdr:txBody>
    </xdr:sp>
    <xdr:clientData/>
  </xdr:twoCellAnchor>
  <xdr:twoCellAnchor>
    <xdr:from>
      <xdr:col>2</xdr:col>
      <xdr:colOff>274320</xdr:colOff>
      <xdr:row>12</xdr:row>
      <xdr:rowOff>76200</xdr:rowOff>
    </xdr:from>
    <xdr:to>
      <xdr:col>3</xdr:col>
      <xdr:colOff>563880</xdr:colOff>
      <xdr:row>13</xdr:row>
      <xdr:rowOff>121920</xdr:rowOff>
    </xdr:to>
    <xdr:sp macro="" textlink="">
      <xdr:nvSpPr>
        <xdr:cNvPr id="7" name="TextBox 6">
          <a:extLst>
            <a:ext uri="{FF2B5EF4-FFF2-40B4-BE49-F238E27FC236}">
              <a16:creationId xmlns:a16="http://schemas.microsoft.com/office/drawing/2014/main" id="{CCE68A55-8503-4ED8-BF91-56D60B6C5B2D}"/>
            </a:ext>
          </a:extLst>
        </xdr:cNvPr>
        <xdr:cNvSpPr txBox="1"/>
      </xdr:nvSpPr>
      <xdr:spPr>
        <a:xfrm>
          <a:off x="784860" y="2270760"/>
          <a:ext cx="9601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solidFill>
                <a:schemeClr val="bg1">
                  <a:lumMod val="95000"/>
                </a:schemeClr>
              </a:solidFill>
              <a:latin typeface="+mj-lt"/>
            </a:rPr>
            <a:t>Amount</a:t>
          </a:r>
        </a:p>
        <a:p>
          <a:endParaRPr lang="en-IN" sz="1100"/>
        </a:p>
      </xdr:txBody>
    </xdr:sp>
    <xdr:clientData/>
  </xdr:twoCellAnchor>
  <xdr:twoCellAnchor editAs="oneCell">
    <xdr:from>
      <xdr:col>2</xdr:col>
      <xdr:colOff>58856</xdr:colOff>
      <xdr:row>12</xdr:row>
      <xdr:rowOff>110188</xdr:rowOff>
    </xdr:from>
    <xdr:to>
      <xdr:col>2</xdr:col>
      <xdr:colOff>216097</xdr:colOff>
      <xdr:row>13</xdr:row>
      <xdr:rowOff>84549</xdr:rowOff>
    </xdr:to>
    <xdr:pic>
      <xdr:nvPicPr>
        <xdr:cNvPr id="8" name="Graphic 7">
          <a:extLst>
            <a:ext uri="{FF2B5EF4-FFF2-40B4-BE49-F238E27FC236}">
              <a16:creationId xmlns:a16="http://schemas.microsoft.com/office/drawing/2014/main" id="{7D7165A2-09D2-45E3-9E2C-FF992E7BBD8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rot="1742784">
          <a:off x="569396" y="2304748"/>
          <a:ext cx="157241" cy="157241"/>
        </a:xfrm>
        <a:prstGeom prst="rect">
          <a:avLst/>
        </a:prstGeom>
      </xdr:spPr>
    </xdr:pic>
    <xdr:clientData/>
  </xdr:twoCellAnchor>
  <xdr:twoCellAnchor>
    <xdr:from>
      <xdr:col>2</xdr:col>
      <xdr:colOff>228600</xdr:colOff>
      <xdr:row>15</xdr:row>
      <xdr:rowOff>121920</xdr:rowOff>
    </xdr:from>
    <xdr:to>
      <xdr:col>3</xdr:col>
      <xdr:colOff>624840</xdr:colOff>
      <xdr:row>16</xdr:row>
      <xdr:rowOff>144780</xdr:rowOff>
    </xdr:to>
    <xdr:sp macro="" textlink="Pivorts!B13">
      <xdr:nvSpPr>
        <xdr:cNvPr id="9" name="TextBox 8">
          <a:extLst>
            <a:ext uri="{FF2B5EF4-FFF2-40B4-BE49-F238E27FC236}">
              <a16:creationId xmlns:a16="http://schemas.microsoft.com/office/drawing/2014/main" id="{16FB0D4D-4825-4C72-9957-A24B57E67EB8}"/>
            </a:ext>
          </a:extLst>
        </xdr:cNvPr>
        <xdr:cNvSpPr txBox="1"/>
      </xdr:nvSpPr>
      <xdr:spPr>
        <a:xfrm>
          <a:off x="739140" y="2865120"/>
          <a:ext cx="10668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456B37-5367-4DF2-91F7-6441EF2AC32B}" type="TxLink">
            <a:rPr lang="en-US" sz="1100" b="0" i="0" u="none" strike="noStrike">
              <a:solidFill>
                <a:schemeClr val="bg1"/>
              </a:solidFill>
              <a:latin typeface="Aptos"/>
            </a:rPr>
            <a:pPr algn="ctr"/>
            <a:t>$20,104</a:t>
          </a:fld>
          <a:endParaRPr lang="en-IN" sz="1100">
            <a:solidFill>
              <a:schemeClr val="bg1"/>
            </a:solidFill>
            <a:latin typeface="+mn-lt"/>
          </a:endParaRPr>
        </a:p>
      </xdr:txBody>
    </xdr:sp>
    <xdr:clientData/>
  </xdr:twoCellAnchor>
  <xdr:twoCellAnchor>
    <xdr:from>
      <xdr:col>2</xdr:col>
      <xdr:colOff>15240</xdr:colOff>
      <xdr:row>20</xdr:row>
      <xdr:rowOff>22860</xdr:rowOff>
    </xdr:from>
    <xdr:to>
      <xdr:col>4</xdr:col>
      <xdr:colOff>167640</xdr:colOff>
      <xdr:row>25</xdr:row>
      <xdr:rowOff>60960</xdr:rowOff>
    </xdr:to>
    <xdr:sp macro="" textlink="Pivorts!C4">
      <xdr:nvSpPr>
        <xdr:cNvPr id="10" name="Rectangle 9">
          <a:extLst>
            <a:ext uri="{FF2B5EF4-FFF2-40B4-BE49-F238E27FC236}">
              <a16:creationId xmlns:a16="http://schemas.microsoft.com/office/drawing/2014/main" id="{05849000-01CC-4E4D-975C-05591A5009F2}"/>
            </a:ext>
          </a:extLst>
        </xdr:cNvPr>
        <xdr:cNvSpPr/>
      </xdr:nvSpPr>
      <xdr:spPr>
        <a:xfrm>
          <a:off x="525780" y="3680460"/>
          <a:ext cx="149352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2477D78-A9D1-4ABA-9EB1-B36CA7862555}" type="TxLink">
            <a:rPr lang="en-US" sz="2400" b="0" i="0" u="none" strike="noStrike">
              <a:ln>
                <a:noFill/>
              </a:ln>
              <a:solidFill>
                <a:schemeClr val="bg1"/>
              </a:solidFill>
              <a:latin typeface="+mj-lt"/>
              <a:ea typeface="+mn-ea"/>
              <a:cs typeface="+mn-cs"/>
            </a:rPr>
            <a:pPr marL="0" indent="0" algn="ctr"/>
            <a:t>89,850</a:t>
          </a:fld>
          <a:endParaRPr lang="en-US" sz="2400" b="0" i="0" u="none" strike="noStrike">
            <a:ln>
              <a:noFill/>
            </a:ln>
            <a:solidFill>
              <a:schemeClr val="bg1"/>
            </a:solidFill>
            <a:latin typeface="+mj-lt"/>
            <a:ea typeface="+mn-ea"/>
            <a:cs typeface="+mn-cs"/>
          </a:endParaRPr>
        </a:p>
      </xdr:txBody>
    </xdr:sp>
    <xdr:clientData/>
  </xdr:twoCellAnchor>
  <xdr:twoCellAnchor>
    <xdr:from>
      <xdr:col>2</xdr:col>
      <xdr:colOff>274320</xdr:colOff>
      <xdr:row>20</xdr:row>
      <xdr:rowOff>76200</xdr:rowOff>
    </xdr:from>
    <xdr:to>
      <xdr:col>3</xdr:col>
      <xdr:colOff>563880</xdr:colOff>
      <xdr:row>21</xdr:row>
      <xdr:rowOff>121920</xdr:rowOff>
    </xdr:to>
    <xdr:sp macro="" textlink="">
      <xdr:nvSpPr>
        <xdr:cNvPr id="11" name="TextBox 10">
          <a:extLst>
            <a:ext uri="{FF2B5EF4-FFF2-40B4-BE49-F238E27FC236}">
              <a16:creationId xmlns:a16="http://schemas.microsoft.com/office/drawing/2014/main" id="{FFAFD479-E388-4FAE-9E85-B289C8FE6211}"/>
            </a:ext>
          </a:extLst>
        </xdr:cNvPr>
        <xdr:cNvSpPr txBox="1"/>
      </xdr:nvSpPr>
      <xdr:spPr>
        <a:xfrm>
          <a:off x="784860" y="3733800"/>
          <a:ext cx="9601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solidFill>
                <a:schemeClr val="bg1"/>
              </a:solidFill>
            </a:rPr>
            <a:t>Duration</a:t>
          </a:r>
          <a:endParaRPr lang="en-IN" sz="1100">
            <a:solidFill>
              <a:schemeClr val="bg1"/>
            </a:solidFill>
            <a:latin typeface="+mj-lt"/>
          </a:endParaRPr>
        </a:p>
        <a:p>
          <a:endParaRPr lang="en-IN" sz="1100"/>
        </a:p>
      </xdr:txBody>
    </xdr:sp>
    <xdr:clientData/>
  </xdr:twoCellAnchor>
  <xdr:twoCellAnchor editAs="oneCell">
    <xdr:from>
      <xdr:col>2</xdr:col>
      <xdr:colOff>58856</xdr:colOff>
      <xdr:row>20</xdr:row>
      <xdr:rowOff>110188</xdr:rowOff>
    </xdr:from>
    <xdr:to>
      <xdr:col>2</xdr:col>
      <xdr:colOff>216097</xdr:colOff>
      <xdr:row>21</xdr:row>
      <xdr:rowOff>84549</xdr:rowOff>
    </xdr:to>
    <xdr:pic>
      <xdr:nvPicPr>
        <xdr:cNvPr id="12" name="Graphic 11">
          <a:extLst>
            <a:ext uri="{FF2B5EF4-FFF2-40B4-BE49-F238E27FC236}">
              <a16:creationId xmlns:a16="http://schemas.microsoft.com/office/drawing/2014/main" id="{A1FEA4E0-4078-4021-94F4-E9426B56BEE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569396" y="3767788"/>
          <a:ext cx="157241" cy="157241"/>
        </a:xfrm>
        <a:prstGeom prst="rect">
          <a:avLst/>
        </a:prstGeom>
      </xdr:spPr>
    </xdr:pic>
    <xdr:clientData/>
  </xdr:twoCellAnchor>
  <xdr:twoCellAnchor>
    <xdr:from>
      <xdr:col>2</xdr:col>
      <xdr:colOff>228600</xdr:colOff>
      <xdr:row>23</xdr:row>
      <xdr:rowOff>121920</xdr:rowOff>
    </xdr:from>
    <xdr:to>
      <xdr:col>3</xdr:col>
      <xdr:colOff>624840</xdr:colOff>
      <xdr:row>24</xdr:row>
      <xdr:rowOff>144780</xdr:rowOff>
    </xdr:to>
    <xdr:sp macro="" textlink="Pivorts!C13">
      <xdr:nvSpPr>
        <xdr:cNvPr id="13" name="TextBox 12">
          <a:extLst>
            <a:ext uri="{FF2B5EF4-FFF2-40B4-BE49-F238E27FC236}">
              <a16:creationId xmlns:a16="http://schemas.microsoft.com/office/drawing/2014/main" id="{4AD072B7-0C9D-4974-BE6E-7F7D9EEF154F}"/>
            </a:ext>
          </a:extLst>
        </xdr:cNvPr>
        <xdr:cNvSpPr txBox="1"/>
      </xdr:nvSpPr>
      <xdr:spPr>
        <a:xfrm>
          <a:off x="739140" y="4328160"/>
          <a:ext cx="10668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4EBF52-20D3-4CDD-98AA-A21DADDD63AB}" type="TxLink">
            <a:rPr lang="en-US" sz="1100" b="0" i="0" u="none" strike="noStrike">
              <a:solidFill>
                <a:schemeClr val="bg1"/>
              </a:solidFill>
              <a:latin typeface="Aptos"/>
            </a:rPr>
            <a:pPr algn="ctr"/>
            <a:t>18,209</a:t>
          </a:fld>
          <a:endParaRPr lang="en-IN" sz="1100">
            <a:solidFill>
              <a:schemeClr val="bg1"/>
            </a:solidFill>
            <a:latin typeface="+mn-lt"/>
          </a:endParaRPr>
        </a:p>
      </xdr:txBody>
    </xdr:sp>
    <xdr:clientData/>
  </xdr:twoCellAnchor>
  <xdr:twoCellAnchor>
    <xdr:from>
      <xdr:col>2</xdr:col>
      <xdr:colOff>0</xdr:colOff>
      <xdr:row>29</xdr:row>
      <xdr:rowOff>0</xdr:rowOff>
    </xdr:from>
    <xdr:to>
      <xdr:col>4</xdr:col>
      <xdr:colOff>152400</xdr:colOff>
      <xdr:row>34</xdr:row>
      <xdr:rowOff>38100</xdr:rowOff>
    </xdr:to>
    <xdr:sp macro="" textlink="Pivorts!D4">
      <xdr:nvSpPr>
        <xdr:cNvPr id="14" name="Rectangle 13">
          <a:extLst>
            <a:ext uri="{FF2B5EF4-FFF2-40B4-BE49-F238E27FC236}">
              <a16:creationId xmlns:a16="http://schemas.microsoft.com/office/drawing/2014/main" id="{F48E0A72-28BD-4D28-BF5C-684692013594}"/>
            </a:ext>
          </a:extLst>
        </xdr:cNvPr>
        <xdr:cNvSpPr/>
      </xdr:nvSpPr>
      <xdr:spPr>
        <a:xfrm>
          <a:off x="510540" y="5303520"/>
          <a:ext cx="149352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BA235BD-323B-44AA-A16A-6823D0E6D644}" type="TxLink">
            <a:rPr lang="en-US" sz="2400" b="0" i="0" u="none" strike="noStrike">
              <a:ln>
                <a:noFill/>
              </a:ln>
              <a:solidFill>
                <a:schemeClr val="bg1"/>
              </a:solidFill>
              <a:latin typeface="+mj-lt"/>
              <a:ea typeface="+mn-ea"/>
              <a:cs typeface="+mn-cs"/>
            </a:rPr>
            <a:pPr marL="0" indent="0" algn="ctr"/>
            <a:t>3.9</a:t>
          </a:fld>
          <a:endParaRPr lang="en-US" sz="2400" b="0" i="0" u="none" strike="noStrike">
            <a:ln>
              <a:noFill/>
            </a:ln>
            <a:solidFill>
              <a:schemeClr val="bg1"/>
            </a:solidFill>
            <a:latin typeface="+mj-lt"/>
            <a:ea typeface="+mn-ea"/>
            <a:cs typeface="+mn-cs"/>
          </a:endParaRPr>
        </a:p>
      </xdr:txBody>
    </xdr:sp>
    <xdr:clientData/>
  </xdr:twoCellAnchor>
  <xdr:twoCellAnchor>
    <xdr:from>
      <xdr:col>2</xdr:col>
      <xdr:colOff>274320</xdr:colOff>
      <xdr:row>29</xdr:row>
      <xdr:rowOff>76200</xdr:rowOff>
    </xdr:from>
    <xdr:to>
      <xdr:col>3</xdr:col>
      <xdr:colOff>563880</xdr:colOff>
      <xdr:row>30</xdr:row>
      <xdr:rowOff>121920</xdr:rowOff>
    </xdr:to>
    <xdr:sp macro="" textlink="">
      <xdr:nvSpPr>
        <xdr:cNvPr id="15" name="TextBox 14">
          <a:extLst>
            <a:ext uri="{FF2B5EF4-FFF2-40B4-BE49-F238E27FC236}">
              <a16:creationId xmlns:a16="http://schemas.microsoft.com/office/drawing/2014/main" id="{DA9F63DB-52A2-415B-AEED-499CBFDCE19C}"/>
            </a:ext>
          </a:extLst>
        </xdr:cNvPr>
        <xdr:cNvSpPr txBox="1"/>
      </xdr:nvSpPr>
      <xdr:spPr>
        <a:xfrm>
          <a:off x="784860" y="5379720"/>
          <a:ext cx="9601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Avg.</a:t>
          </a:r>
          <a:r>
            <a:rPr lang="en-IN" sz="1100" baseline="0">
              <a:solidFill>
                <a:schemeClr val="bg1"/>
              </a:solidFill>
            </a:rPr>
            <a:t> Rating</a:t>
          </a:r>
          <a:endParaRPr lang="en-IN" sz="1100">
            <a:solidFill>
              <a:schemeClr val="bg1"/>
            </a:solidFill>
            <a:latin typeface="+mj-lt"/>
          </a:endParaRPr>
        </a:p>
        <a:p>
          <a:endParaRPr lang="en-IN" sz="1100"/>
        </a:p>
      </xdr:txBody>
    </xdr:sp>
    <xdr:clientData/>
  </xdr:twoCellAnchor>
  <xdr:twoCellAnchor editAs="oneCell">
    <xdr:from>
      <xdr:col>2</xdr:col>
      <xdr:colOff>58856</xdr:colOff>
      <xdr:row>29</xdr:row>
      <xdr:rowOff>110188</xdr:rowOff>
    </xdr:from>
    <xdr:to>
      <xdr:col>2</xdr:col>
      <xdr:colOff>216097</xdr:colOff>
      <xdr:row>30</xdr:row>
      <xdr:rowOff>84549</xdr:rowOff>
    </xdr:to>
    <xdr:pic>
      <xdr:nvPicPr>
        <xdr:cNvPr id="16" name="Graphic 15">
          <a:extLst>
            <a:ext uri="{FF2B5EF4-FFF2-40B4-BE49-F238E27FC236}">
              <a16:creationId xmlns:a16="http://schemas.microsoft.com/office/drawing/2014/main" id="{5844DE04-3AAF-4803-88D5-8C180DA4242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569396" y="5413708"/>
          <a:ext cx="157241" cy="157241"/>
        </a:xfrm>
        <a:prstGeom prst="rect">
          <a:avLst/>
        </a:prstGeom>
      </xdr:spPr>
    </xdr:pic>
    <xdr:clientData/>
  </xdr:twoCellAnchor>
  <xdr:twoCellAnchor>
    <xdr:from>
      <xdr:col>2</xdr:col>
      <xdr:colOff>228600</xdr:colOff>
      <xdr:row>32</xdr:row>
      <xdr:rowOff>121920</xdr:rowOff>
    </xdr:from>
    <xdr:to>
      <xdr:col>3</xdr:col>
      <xdr:colOff>624840</xdr:colOff>
      <xdr:row>33</xdr:row>
      <xdr:rowOff>144780</xdr:rowOff>
    </xdr:to>
    <xdr:sp macro="" textlink="Pivorts!D13">
      <xdr:nvSpPr>
        <xdr:cNvPr id="17" name="TextBox 16">
          <a:extLst>
            <a:ext uri="{FF2B5EF4-FFF2-40B4-BE49-F238E27FC236}">
              <a16:creationId xmlns:a16="http://schemas.microsoft.com/office/drawing/2014/main" id="{E6A562D5-6768-42FA-967C-C468677548F3}"/>
            </a:ext>
          </a:extLst>
        </xdr:cNvPr>
        <xdr:cNvSpPr txBox="1"/>
      </xdr:nvSpPr>
      <xdr:spPr>
        <a:xfrm>
          <a:off x="739140" y="5974080"/>
          <a:ext cx="10668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E28DCE-0CE9-4B09-9D2A-C6D4320A4174}" type="TxLink">
            <a:rPr lang="en-US" sz="1100" b="0" i="0" u="none" strike="noStrike">
              <a:solidFill>
                <a:schemeClr val="bg1"/>
              </a:solidFill>
              <a:latin typeface="Aptos"/>
            </a:rPr>
            <a:pPr algn="ctr"/>
            <a:t>3.9</a:t>
          </a:fld>
          <a:endParaRPr lang="en-IN" sz="1100">
            <a:solidFill>
              <a:schemeClr val="bg1"/>
            </a:solidFill>
            <a:latin typeface="+mn-lt"/>
          </a:endParaRPr>
        </a:p>
      </xdr:txBody>
    </xdr:sp>
    <xdr:clientData/>
  </xdr:twoCellAnchor>
  <xdr:twoCellAnchor>
    <xdr:from>
      <xdr:col>2</xdr:col>
      <xdr:colOff>0</xdr:colOff>
      <xdr:row>37</xdr:row>
      <xdr:rowOff>0</xdr:rowOff>
    </xdr:from>
    <xdr:to>
      <xdr:col>4</xdr:col>
      <xdr:colOff>152400</xdr:colOff>
      <xdr:row>42</xdr:row>
      <xdr:rowOff>38100</xdr:rowOff>
    </xdr:to>
    <xdr:sp macro="" textlink="Pivorts!E4">
      <xdr:nvSpPr>
        <xdr:cNvPr id="18" name="Rectangle 17">
          <a:extLst>
            <a:ext uri="{FF2B5EF4-FFF2-40B4-BE49-F238E27FC236}">
              <a16:creationId xmlns:a16="http://schemas.microsoft.com/office/drawing/2014/main" id="{9F413692-2389-4B91-B228-A85E412C5CA1}"/>
            </a:ext>
          </a:extLst>
        </xdr:cNvPr>
        <xdr:cNvSpPr/>
      </xdr:nvSpPr>
      <xdr:spPr>
        <a:xfrm>
          <a:off x="510540" y="6766560"/>
          <a:ext cx="149352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EC9B009-B745-4715-8C38-E921661B0864}" type="TxLink">
            <a:rPr lang="en-US" sz="2400" b="0" i="0" u="none" strike="noStrike">
              <a:ln>
                <a:noFill/>
              </a:ln>
              <a:solidFill>
                <a:schemeClr val="bg1"/>
              </a:solidFill>
              <a:latin typeface="+mj-lt"/>
              <a:ea typeface="+mn-ea"/>
              <a:cs typeface="+mn-cs"/>
            </a:rPr>
            <a:pPr marL="0" indent="0" algn="ctr"/>
            <a:t>307</a:t>
          </a:fld>
          <a:endParaRPr lang="en-US" sz="2400" b="0" i="0" u="none" strike="noStrike">
            <a:ln>
              <a:noFill/>
            </a:ln>
            <a:solidFill>
              <a:schemeClr val="bg1"/>
            </a:solidFill>
            <a:latin typeface="+mj-lt"/>
            <a:ea typeface="+mn-ea"/>
            <a:cs typeface="+mn-cs"/>
          </a:endParaRPr>
        </a:p>
      </xdr:txBody>
    </xdr:sp>
    <xdr:clientData/>
  </xdr:twoCellAnchor>
  <xdr:twoCellAnchor>
    <xdr:from>
      <xdr:col>2</xdr:col>
      <xdr:colOff>236220</xdr:colOff>
      <xdr:row>37</xdr:row>
      <xdr:rowOff>76200</xdr:rowOff>
    </xdr:from>
    <xdr:to>
      <xdr:col>3</xdr:col>
      <xdr:colOff>624840</xdr:colOff>
      <xdr:row>38</xdr:row>
      <xdr:rowOff>91440</xdr:rowOff>
    </xdr:to>
    <xdr:sp macro="" textlink="">
      <xdr:nvSpPr>
        <xdr:cNvPr id="19" name="TextBox 18">
          <a:extLst>
            <a:ext uri="{FF2B5EF4-FFF2-40B4-BE49-F238E27FC236}">
              <a16:creationId xmlns:a16="http://schemas.microsoft.com/office/drawing/2014/main" id="{B22CF0C4-F647-42F4-BA49-40CD6D261E0B}"/>
            </a:ext>
          </a:extLst>
        </xdr:cNvPr>
        <xdr:cNvSpPr txBox="1"/>
      </xdr:nvSpPr>
      <xdr:spPr>
        <a:xfrm>
          <a:off x="746760" y="6842760"/>
          <a:ext cx="10591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Happy </a:t>
          </a:r>
          <a:r>
            <a:rPr lang="en-IN" sz="1100" baseline="0">
              <a:solidFill>
                <a:schemeClr val="bg1"/>
              </a:solidFill>
            </a:rPr>
            <a:t>Callers</a:t>
          </a:r>
          <a:endParaRPr lang="en-IN" sz="1100">
            <a:solidFill>
              <a:schemeClr val="bg1"/>
            </a:solidFill>
            <a:latin typeface="+mj-lt"/>
          </a:endParaRPr>
        </a:p>
        <a:p>
          <a:endParaRPr lang="en-IN" sz="1100"/>
        </a:p>
      </xdr:txBody>
    </xdr:sp>
    <xdr:clientData/>
  </xdr:twoCellAnchor>
  <xdr:twoCellAnchor editAs="oneCell">
    <xdr:from>
      <xdr:col>2</xdr:col>
      <xdr:colOff>58856</xdr:colOff>
      <xdr:row>37</xdr:row>
      <xdr:rowOff>110188</xdr:rowOff>
    </xdr:from>
    <xdr:to>
      <xdr:col>2</xdr:col>
      <xdr:colOff>216097</xdr:colOff>
      <xdr:row>38</xdr:row>
      <xdr:rowOff>84549</xdr:rowOff>
    </xdr:to>
    <xdr:pic>
      <xdr:nvPicPr>
        <xdr:cNvPr id="20" name="Graphic 19">
          <a:extLst>
            <a:ext uri="{FF2B5EF4-FFF2-40B4-BE49-F238E27FC236}">
              <a16:creationId xmlns:a16="http://schemas.microsoft.com/office/drawing/2014/main" id="{F806B80C-6EBC-401A-BCBD-1854CC05D9E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569396" y="6876748"/>
          <a:ext cx="157241" cy="157241"/>
        </a:xfrm>
        <a:prstGeom prst="rect">
          <a:avLst/>
        </a:prstGeom>
      </xdr:spPr>
    </xdr:pic>
    <xdr:clientData/>
  </xdr:twoCellAnchor>
  <xdr:twoCellAnchor>
    <xdr:from>
      <xdr:col>2</xdr:col>
      <xdr:colOff>228600</xdr:colOff>
      <xdr:row>40</xdr:row>
      <xdr:rowOff>121920</xdr:rowOff>
    </xdr:from>
    <xdr:to>
      <xdr:col>3</xdr:col>
      <xdr:colOff>624840</xdr:colOff>
      <xdr:row>41</xdr:row>
      <xdr:rowOff>144780</xdr:rowOff>
    </xdr:to>
    <xdr:sp macro="" textlink="Pivorts!E13">
      <xdr:nvSpPr>
        <xdr:cNvPr id="21" name="TextBox 20">
          <a:extLst>
            <a:ext uri="{FF2B5EF4-FFF2-40B4-BE49-F238E27FC236}">
              <a16:creationId xmlns:a16="http://schemas.microsoft.com/office/drawing/2014/main" id="{2BA973A3-1986-453A-89A7-3FE2257DA38C}"/>
            </a:ext>
          </a:extLst>
        </xdr:cNvPr>
        <xdr:cNvSpPr txBox="1"/>
      </xdr:nvSpPr>
      <xdr:spPr>
        <a:xfrm>
          <a:off x="739140" y="7437120"/>
          <a:ext cx="10668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DC4B84-CEED-4581-876C-5359629C085C}" type="TxLink">
            <a:rPr lang="en-US" sz="1100" b="0" i="0" u="none" strike="noStrike">
              <a:solidFill>
                <a:schemeClr val="bg1"/>
              </a:solidFill>
              <a:latin typeface="Aptos"/>
            </a:rPr>
            <a:pPr algn="ctr"/>
            <a:t>51</a:t>
          </a:fld>
          <a:endParaRPr lang="en-IN" sz="1100">
            <a:solidFill>
              <a:schemeClr val="bg1"/>
            </a:solidFill>
            <a:latin typeface="+mn-lt"/>
          </a:endParaRPr>
        </a:p>
      </xdr:txBody>
    </xdr:sp>
    <xdr:clientData/>
  </xdr:twoCellAnchor>
  <xdr:twoCellAnchor>
    <xdr:from>
      <xdr:col>5</xdr:col>
      <xdr:colOff>141514</xdr:colOff>
      <xdr:row>3</xdr:row>
      <xdr:rowOff>87085</xdr:rowOff>
    </xdr:from>
    <xdr:to>
      <xdr:col>11</xdr:col>
      <xdr:colOff>664028</xdr:colOff>
      <xdr:row>17</xdr:row>
      <xdr:rowOff>108858</xdr:rowOff>
    </xdr:to>
    <xdr:graphicFrame macro="">
      <xdr:nvGraphicFramePr>
        <xdr:cNvPr id="23" name="Chart 22">
          <a:extLst>
            <a:ext uri="{FF2B5EF4-FFF2-40B4-BE49-F238E27FC236}">
              <a16:creationId xmlns:a16="http://schemas.microsoft.com/office/drawing/2014/main" id="{17C392F4-1FBC-42EA-A8F7-DB41714FF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150394</xdr:colOff>
      <xdr:row>20</xdr:row>
      <xdr:rowOff>0</xdr:rowOff>
    </xdr:from>
    <xdr:to>
      <xdr:col>8</xdr:col>
      <xdr:colOff>200526</xdr:colOff>
      <xdr:row>42</xdr:row>
      <xdr:rowOff>30079</xdr:rowOff>
    </xdr:to>
    <xdr:graphicFrame macro="">
      <xdr:nvGraphicFramePr>
        <xdr:cNvPr id="25" name="Chart 24">
          <a:extLst>
            <a:ext uri="{FF2B5EF4-FFF2-40B4-BE49-F238E27FC236}">
              <a16:creationId xmlns:a16="http://schemas.microsoft.com/office/drawing/2014/main" id="{CF26F37A-9768-40CD-A9B5-39B56435E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150396</xdr:colOff>
      <xdr:row>20</xdr:row>
      <xdr:rowOff>23898</xdr:rowOff>
    </xdr:from>
    <xdr:to>
      <xdr:col>11</xdr:col>
      <xdr:colOff>647179</xdr:colOff>
      <xdr:row>42</xdr:row>
      <xdr:rowOff>71420</xdr:rowOff>
    </xdr:to>
    <xdr:graphicFrame macro="">
      <xdr:nvGraphicFramePr>
        <xdr:cNvPr id="27" name="Chart 26">
          <a:extLst>
            <a:ext uri="{FF2B5EF4-FFF2-40B4-BE49-F238E27FC236}">
              <a16:creationId xmlns:a16="http://schemas.microsoft.com/office/drawing/2014/main" id="{A520468C-308A-49FC-BA64-E580AE139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337457</xdr:colOff>
      <xdr:row>2</xdr:row>
      <xdr:rowOff>130628</xdr:rowOff>
    </xdr:from>
    <xdr:to>
      <xdr:col>20</xdr:col>
      <xdr:colOff>555172</xdr:colOff>
      <xdr:row>18</xdr:row>
      <xdr:rowOff>87085</xdr:rowOff>
    </xdr:to>
    <xdr:graphicFrame macro="">
      <xdr:nvGraphicFramePr>
        <xdr:cNvPr id="29" name="Chart 28">
          <a:extLst>
            <a:ext uri="{FF2B5EF4-FFF2-40B4-BE49-F238E27FC236}">
              <a16:creationId xmlns:a16="http://schemas.microsoft.com/office/drawing/2014/main" id="{E18C9972-6160-4888-992D-3F15DFAB7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141513</xdr:colOff>
      <xdr:row>2</xdr:row>
      <xdr:rowOff>130630</xdr:rowOff>
    </xdr:from>
    <xdr:to>
      <xdr:col>26</xdr:col>
      <xdr:colOff>130629</xdr:colOff>
      <xdr:row>18</xdr:row>
      <xdr:rowOff>141515</xdr:rowOff>
    </xdr:to>
    <xdr:graphicFrame macro="">
      <xdr:nvGraphicFramePr>
        <xdr:cNvPr id="31" name="Chart 30">
          <a:extLst>
            <a:ext uri="{FF2B5EF4-FFF2-40B4-BE49-F238E27FC236}">
              <a16:creationId xmlns:a16="http://schemas.microsoft.com/office/drawing/2014/main" id="{20168031-83EA-48D6-97CF-1DD834D9B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85211550926" backgroundQuery="1" createdVersion="8" refreshedVersion="8" minRefreshableVersion="3" recordCount="0" supportSubquery="1" supportAdvancedDrill="1" xr:uid="{AAF0828C-A7C0-4501-BDC6-9E9858F244A6}">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822395601848" backgroundQuery="1" createdVersion="8" refreshedVersion="8" minRefreshableVersion="3" recordCount="0" supportSubquery="1" supportAdvancedDrill="1" xr:uid="{21ED5B78-C52A-40CD-88E5-BEEF1EB63FE2}">
  <cacheSource type="external" connectionId="1"/>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808601851852" backgroundQuery="1" createdVersion="8" refreshedVersion="8" minRefreshableVersion="3" recordCount="0" supportSubquery="1" supportAdvancedDrill="1" xr:uid="{04D4995E-75AC-4734-AB25-E4ACA3A03EB1}">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79064861111" backgroundQuery="1" createdVersion="8" refreshedVersion="8" minRefreshableVersion="3" recordCount="0" supportSubquery="1" supportAdvancedDrill="1" xr:uid="{31DFA086-37EF-431E-881B-7EFDF04F9CD6}">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862884027774" backgroundQuery="1" createdVersion="8" refreshedVersion="8" minRefreshableVersion="3" recordCount="0" supportSubquery="1" supportAdvancedDrill="1" xr:uid="{18673F25-70D5-43BB-AC92-814047981272}">
  <cacheSource type="external" connectionId="1"/>
  <cacheFields count="1">
    <cacheField name="[Measures].[Sum of Satisfaction Rating]" caption="Sum of Satisfaction Rating"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876049189814" backgroundQuery="1" createdVersion="8" refreshedVersion="8" minRefreshableVersion="3" recordCount="0" supportSubquery="1" supportAdvancedDrill="1" xr:uid="{6B7EC4E2-9CF1-42AC-AE47-BDC217BE77F0}">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894941550927" backgroundQuery="1" createdVersion="8" refreshedVersion="8" minRefreshableVersion="3" recordCount="0" supportSubquery="1" supportAdvancedDrill="1" xr:uid="{4CC5E86F-EBDF-422E-94FE-F0D6D4496267}">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89494189815" backgroundQuery="1" createdVersion="8" refreshedVersion="8" minRefreshableVersion="3" recordCount="0" supportSubquery="1" supportAdvancedDrill="1" xr:uid="{FD280EF7-3C07-4917-9542-E13CD1A089FB}">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894942245373" backgroundQuery="1" createdVersion="8" refreshedVersion="8" minRefreshableVersion="3" recordCount="0" supportSubquery="1" supportAdvancedDrill="1" xr:uid="{800AA90B-213B-4EFB-A987-C40EDDB69EC6}">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894942592589" backgroundQuery="1" createdVersion="8" refreshedVersion="8" minRefreshableVersion="3" recordCount="0" supportSubquery="1" supportAdvancedDrill="1" xr:uid="{760EB631-1283-4B9C-A8E5-A40B6B8667C6}">
  <cacheSource type="external" connectionId="1"/>
  <cacheFields count="1">
    <cacheField name="[calls].[Representative].[Representative]" caption="Representative" numFmtId="0" hierarchy="3" level="1">
      <sharedItems count="1">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894943055559" backgroundQuery="1" createdVersion="8" refreshedVersion="8" minRefreshableVersion="3" recordCount="0" supportSubquery="1" supportAdvancedDrill="1" xr:uid="{20ABE9AF-E681-4499-A465-C8FBDC372F33}">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refreshedDate="46173.790643287037" backgroundQuery="1" createdVersion="3" refreshedVersion="8" minRefreshableVersion="3" recordCount="0" supportSubquery="1" supportAdvancedDrill="1" xr:uid="{D946C088-827D-410A-BDCD-86E852D34F0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59218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C0EDD7-63D6-4B32-87E7-01C31D81EA84}"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 firstHeaderRow="0" firstDataRow="0" firstDataCol="0"/>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98C7A0-FEF8-4DF9-B783-A15C76D4CCB4}" name="Rep amounts" cacheId="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1">
  <location ref="B79:H9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AD8A42-3FA9-4DE7-89DB-A7FF9315D646}"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A73" firstHeaderRow="1" firstDataRow="1" firstDataCol="0"/>
  <pivotFields count="1">
    <pivotField dataField="1" subtotalTop="0" showAll="0" defaultSubtotal="0"/>
  </pivotFields>
  <rowItems count="1">
    <i/>
  </rowItems>
  <colItems count="1">
    <i/>
  </colItems>
  <dataFields count="1">
    <dataField name="Sum of Satisfaction Rating" fld="0"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E474BA-2EF3-4EFE-A138-1FEEFCB2A95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5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D0E8B6-CA96-4906-8E3D-AC44D96F549C}" name="Rep Satisfction"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68:S7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9B3127-7A51-4FF0-B940-040217A7D60F}" name="Weekday Trend"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H26:I3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306BD3-1DF7-42F9-9B4A-95B5B902891E}" name="Monthly Trend"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6:C3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7C1786-5453-41D8-A325-F8A2D9E7A6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68:K7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3">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7D6A42-0BBD-4571-B23B-8743073DFB6A}" name="Summary pivo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75643B-5AF9-463D-B051-FA9540E13B84}" name="Selected Rep" cacheId="9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3:A6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5">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91D40B-ABA2-4ABF-9C62-6B6FB69C7054}" name="Rep pivot"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E135995-4412-456F-9DB0-E656AAD6CE1F}" sourceName="[calls].[Representative]">
  <pivotTables>
    <pivotTable tabId="6" name="Rep pivot"/>
    <pivotTable tabId="6" name="Monthly Trend"/>
    <pivotTable tabId="6" name="Weekday Trend"/>
    <pivotTable tabId="6" name="Selected Rep"/>
    <pivotTable tabId="6" name="Rep Satisfction"/>
  </pivotTables>
  <data>
    <olap pivotCacheId="120592187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344E67A-49F2-49ED-8442-E4DD6477A4F5}"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81C2-C546-4741-BAE6-FAA171D3C31F}">
  <dimension ref="A1:S98"/>
  <sheetViews>
    <sheetView tabSelected="1" topLeftCell="A56" workbookViewId="0">
      <selection activeCell="C80" sqref="C80:G80"/>
    </sheetView>
  </sheetViews>
  <sheetFormatPr defaultRowHeight="14.4" x14ac:dyDescent="0.3"/>
  <cols>
    <col min="1" max="1" width="12.19921875" bestFit="1" customWidth="1"/>
    <col min="2" max="2" width="9.5" bestFit="1" customWidth="1"/>
    <col min="3" max="3" width="10.5" bestFit="1" customWidth="1"/>
    <col min="4" max="4" width="9.3984375" bestFit="1" customWidth="1"/>
    <col min="5" max="5" width="7" bestFit="1" customWidth="1"/>
    <col min="6" max="7" width="6.3984375" bestFit="1" customWidth="1"/>
    <col min="8" max="8" width="12.19921875" bestFit="1" customWidth="1"/>
    <col min="9" max="9" width="9.5" bestFit="1" customWidth="1"/>
    <col min="10" max="10" width="4.8984375" bestFit="1" customWidth="1"/>
    <col min="11" max="11" width="10.3984375" bestFit="1" customWidth="1"/>
    <col min="18" max="18" width="12.19921875" bestFit="1" customWidth="1"/>
    <col min="19" max="19" width="9.5" bestFit="1" customWidth="1"/>
  </cols>
  <sheetData>
    <row r="1" spans="1:5" x14ac:dyDescent="0.3">
      <c r="A1" s="27" t="e" vm="1">
        <v>#VALUE!</v>
      </c>
    </row>
    <row r="3" spans="1:5" x14ac:dyDescent="0.3">
      <c r="A3" t="s">
        <v>1040</v>
      </c>
      <c r="B3" t="s">
        <v>1041</v>
      </c>
      <c r="C3" t="s">
        <v>1042</v>
      </c>
      <c r="D3" t="s">
        <v>1043</v>
      </c>
      <c r="E3" t="s">
        <v>1044</v>
      </c>
    </row>
    <row r="4" spans="1:5" x14ac:dyDescent="0.3">
      <c r="A4" s="21">
        <v>1000</v>
      </c>
      <c r="B4" s="22">
        <v>96623</v>
      </c>
      <c r="C4" s="21">
        <v>89850</v>
      </c>
      <c r="D4" s="23">
        <v>3.8854000000000033</v>
      </c>
      <c r="E4" s="21">
        <v>307</v>
      </c>
    </row>
    <row r="12" spans="1:5" x14ac:dyDescent="0.3">
      <c r="A12" t="s">
        <v>1040</v>
      </c>
      <c r="B12" t="s">
        <v>1041</v>
      </c>
      <c r="C12" t="s">
        <v>1042</v>
      </c>
      <c r="D12" t="s">
        <v>1043</v>
      </c>
      <c r="E12" t="s">
        <v>1044</v>
      </c>
    </row>
    <row r="13" spans="1:5" x14ac:dyDescent="0.3">
      <c r="A13" s="21">
        <v>200</v>
      </c>
      <c r="B13" s="22">
        <v>20104</v>
      </c>
      <c r="C13" s="21">
        <v>18209</v>
      </c>
      <c r="D13" s="23">
        <v>3.8824999999999998</v>
      </c>
      <c r="E13" s="21">
        <v>51</v>
      </c>
    </row>
    <row r="26" spans="1:9" x14ac:dyDescent="0.3">
      <c r="A26" s="24" t="s">
        <v>1045</v>
      </c>
      <c r="B26" t="s">
        <v>1040</v>
      </c>
      <c r="C26" t="s">
        <v>1059</v>
      </c>
      <c r="H26" s="24" t="s">
        <v>1045</v>
      </c>
      <c r="I26" t="s">
        <v>1040</v>
      </c>
    </row>
    <row r="27" spans="1:9" x14ac:dyDescent="0.3">
      <c r="A27" s="25" t="s">
        <v>1047</v>
      </c>
      <c r="B27" s="21">
        <v>21</v>
      </c>
      <c r="C27" s="21">
        <v>21</v>
      </c>
      <c r="H27" s="25" t="s">
        <v>1063</v>
      </c>
      <c r="I27" s="21">
        <v>27</v>
      </c>
    </row>
    <row r="28" spans="1:9" x14ac:dyDescent="0.3">
      <c r="A28" s="25" t="s">
        <v>1048</v>
      </c>
      <c r="B28" s="21">
        <v>18</v>
      </c>
      <c r="C28" s="21">
        <v>18</v>
      </c>
      <c r="H28" s="25" t="s">
        <v>1061</v>
      </c>
      <c r="I28" s="21">
        <v>22</v>
      </c>
    </row>
    <row r="29" spans="1:9" x14ac:dyDescent="0.3">
      <c r="A29" s="25" t="s">
        <v>1049</v>
      </c>
      <c r="B29" s="21">
        <v>31</v>
      </c>
      <c r="C29" s="21">
        <v>31</v>
      </c>
      <c r="H29" s="25" t="s">
        <v>1065</v>
      </c>
      <c r="I29" s="21">
        <v>27</v>
      </c>
    </row>
    <row r="30" spans="1:9" x14ac:dyDescent="0.3">
      <c r="A30" s="25" t="s">
        <v>1050</v>
      </c>
      <c r="B30" s="21">
        <v>20</v>
      </c>
      <c r="C30" s="21">
        <v>20</v>
      </c>
      <c r="H30" s="25" t="s">
        <v>1066</v>
      </c>
      <c r="I30" s="21">
        <v>27</v>
      </c>
    </row>
    <row r="31" spans="1:9" x14ac:dyDescent="0.3">
      <c r="A31" s="25" t="s">
        <v>1051</v>
      </c>
      <c r="B31" s="21">
        <v>8</v>
      </c>
      <c r="C31" s="21">
        <v>8</v>
      </c>
      <c r="H31" s="25" t="s">
        <v>1064</v>
      </c>
      <c r="I31" s="21">
        <v>27</v>
      </c>
    </row>
    <row r="32" spans="1:9" x14ac:dyDescent="0.3">
      <c r="A32" s="25" t="s">
        <v>1052</v>
      </c>
      <c r="B32" s="21">
        <v>12</v>
      </c>
      <c r="C32" s="21">
        <v>12</v>
      </c>
      <c r="H32" s="25" t="s">
        <v>1060</v>
      </c>
      <c r="I32" s="21">
        <v>32</v>
      </c>
    </row>
    <row r="33" spans="1:10" x14ac:dyDescent="0.3">
      <c r="A33" s="25" t="s">
        <v>1053</v>
      </c>
      <c r="B33" s="21">
        <v>12</v>
      </c>
      <c r="C33" s="21">
        <v>12</v>
      </c>
      <c r="H33" s="25" t="s">
        <v>1062</v>
      </c>
      <c r="I33" s="21">
        <v>38</v>
      </c>
    </row>
    <row r="34" spans="1:10" x14ac:dyDescent="0.3">
      <c r="A34" s="25" t="s">
        <v>1054</v>
      </c>
      <c r="B34" s="21">
        <v>7</v>
      </c>
      <c r="C34" s="21">
        <v>7</v>
      </c>
      <c r="H34" s="25" t="s">
        <v>1046</v>
      </c>
      <c r="I34" s="21">
        <v>200</v>
      </c>
    </row>
    <row r="35" spans="1:10" x14ac:dyDescent="0.3">
      <c r="A35" s="25" t="s">
        <v>1055</v>
      </c>
      <c r="B35" s="21">
        <v>20</v>
      </c>
      <c r="C35" s="21">
        <v>20</v>
      </c>
    </row>
    <row r="36" spans="1:10" x14ac:dyDescent="0.3">
      <c r="A36" s="25" t="s">
        <v>1056</v>
      </c>
      <c r="B36" s="21">
        <v>24</v>
      </c>
      <c r="C36" s="21">
        <v>24</v>
      </c>
    </row>
    <row r="37" spans="1:10" x14ac:dyDescent="0.3">
      <c r="A37" s="25" t="s">
        <v>1057</v>
      </c>
      <c r="B37" s="21">
        <v>12</v>
      </c>
      <c r="C37" s="21">
        <v>12</v>
      </c>
    </row>
    <row r="38" spans="1:10" x14ac:dyDescent="0.3">
      <c r="A38" s="25" t="s">
        <v>1058</v>
      </c>
      <c r="B38" s="21">
        <v>15</v>
      </c>
      <c r="C38" s="21">
        <v>15</v>
      </c>
    </row>
    <row r="39" spans="1:10" x14ac:dyDescent="0.3">
      <c r="A39" s="25" t="s">
        <v>1046</v>
      </c>
      <c r="B39" s="21">
        <v>200</v>
      </c>
      <c r="C39" s="21">
        <v>200</v>
      </c>
    </row>
    <row r="48" spans="1:10" x14ac:dyDescent="0.3">
      <c r="I48" t="s">
        <v>1073</v>
      </c>
      <c r="J48" t="str">
        <f>A64</f>
        <v>R05</v>
      </c>
    </row>
    <row r="49" spans="1:11" x14ac:dyDescent="0.3">
      <c r="G49" t="s">
        <v>1067</v>
      </c>
    </row>
    <row r="51" spans="1:11" x14ac:dyDescent="0.3">
      <c r="A51" s="24" t="s">
        <v>1045</v>
      </c>
      <c r="B51" t="s">
        <v>1040</v>
      </c>
      <c r="C51" t="s">
        <v>1041</v>
      </c>
      <c r="G51" t="s">
        <v>1068</v>
      </c>
      <c r="H51" t="s">
        <v>1069</v>
      </c>
      <c r="I51" t="s">
        <v>1070</v>
      </c>
      <c r="J51" t="s">
        <v>1071</v>
      </c>
      <c r="K51" t="s">
        <v>1072</v>
      </c>
    </row>
    <row r="52" spans="1:11" x14ac:dyDescent="0.3">
      <c r="A52" s="25" t="s">
        <v>11</v>
      </c>
      <c r="B52" s="21">
        <v>189</v>
      </c>
      <c r="C52" s="22">
        <v>18415</v>
      </c>
      <c r="G52" t="str">
        <f>A52</f>
        <v>R01</v>
      </c>
      <c r="H52">
        <f t="shared" ref="H52:I56" si="0">B52</f>
        <v>189</v>
      </c>
      <c r="I52" s="26">
        <f t="shared" si="0"/>
        <v>18415</v>
      </c>
      <c r="J52" t="e">
        <f>IF(G52=$J$48,H52,NA())</f>
        <v>#N/A</v>
      </c>
      <c r="K52" t="e">
        <f>IF(G52=$J$48,I52,NA())</f>
        <v>#N/A</v>
      </c>
    </row>
    <row r="53" spans="1:11" x14ac:dyDescent="0.3">
      <c r="A53" s="25" t="s">
        <v>9</v>
      </c>
      <c r="B53" s="21">
        <v>218</v>
      </c>
      <c r="C53" s="22">
        <v>20581</v>
      </c>
      <c r="G53" t="str">
        <f t="shared" ref="G53:G56" si="1">A53</f>
        <v>R02</v>
      </c>
      <c r="H53">
        <f t="shared" si="0"/>
        <v>218</v>
      </c>
      <c r="I53" s="26">
        <f t="shared" si="0"/>
        <v>20581</v>
      </c>
      <c r="J53" t="e">
        <f t="shared" ref="J53:J56" si="2">IF(G53=$J$48,H53,NA())</f>
        <v>#N/A</v>
      </c>
      <c r="K53" t="e">
        <f t="shared" ref="K53:K56" si="3">IF(G53=$J$48,I53,NA())</f>
        <v>#N/A</v>
      </c>
    </row>
    <row r="54" spans="1:11" x14ac:dyDescent="0.3">
      <c r="A54" s="25" t="s">
        <v>6</v>
      </c>
      <c r="B54" s="21">
        <v>207</v>
      </c>
      <c r="C54" s="22">
        <v>20872</v>
      </c>
      <c r="G54" t="str">
        <f t="shared" si="1"/>
        <v>R03</v>
      </c>
      <c r="H54">
        <f t="shared" si="0"/>
        <v>207</v>
      </c>
      <c r="I54" s="26">
        <f t="shared" si="0"/>
        <v>20872</v>
      </c>
      <c r="J54" t="e">
        <f t="shared" si="2"/>
        <v>#N/A</v>
      </c>
      <c r="K54" t="e">
        <f t="shared" si="3"/>
        <v>#N/A</v>
      </c>
    </row>
    <row r="55" spans="1:11" x14ac:dyDescent="0.3">
      <c r="A55" s="25" t="s">
        <v>13</v>
      </c>
      <c r="B55" s="21">
        <v>186</v>
      </c>
      <c r="C55" s="22">
        <v>16651</v>
      </c>
      <c r="G55" t="str">
        <f t="shared" si="1"/>
        <v>R04</v>
      </c>
      <c r="H55">
        <f t="shared" si="0"/>
        <v>186</v>
      </c>
      <c r="I55" s="26">
        <f t="shared" si="0"/>
        <v>16651</v>
      </c>
      <c r="J55" t="e">
        <f t="shared" si="2"/>
        <v>#N/A</v>
      </c>
      <c r="K55" t="e">
        <f t="shared" si="3"/>
        <v>#N/A</v>
      </c>
    </row>
    <row r="56" spans="1:11" x14ac:dyDescent="0.3">
      <c r="A56" s="25" t="s">
        <v>10</v>
      </c>
      <c r="B56" s="21">
        <v>200</v>
      </c>
      <c r="C56" s="22">
        <v>20104</v>
      </c>
      <c r="G56" t="str">
        <f t="shared" si="1"/>
        <v>R05</v>
      </c>
      <c r="H56">
        <f t="shared" si="0"/>
        <v>200</v>
      </c>
      <c r="I56" s="26">
        <f t="shared" si="0"/>
        <v>20104</v>
      </c>
      <c r="J56">
        <f t="shared" si="2"/>
        <v>200</v>
      </c>
      <c r="K56">
        <f t="shared" si="3"/>
        <v>20104</v>
      </c>
    </row>
    <row r="57" spans="1:11" x14ac:dyDescent="0.3">
      <c r="A57" s="25" t="s">
        <v>1046</v>
      </c>
      <c r="B57" s="21">
        <v>1000</v>
      </c>
      <c r="C57" s="22">
        <v>96623</v>
      </c>
    </row>
    <row r="63" spans="1:11" x14ac:dyDescent="0.3">
      <c r="A63" s="24" t="s">
        <v>1045</v>
      </c>
    </row>
    <row r="64" spans="1:11" x14ac:dyDescent="0.3">
      <c r="A64" s="28" t="s">
        <v>10</v>
      </c>
    </row>
    <row r="68" spans="1:19" x14ac:dyDescent="0.3">
      <c r="H68" s="24" t="s">
        <v>1040</v>
      </c>
      <c r="I68" s="24" t="s">
        <v>1074</v>
      </c>
      <c r="R68" s="24" t="s">
        <v>1045</v>
      </c>
      <c r="S68" t="s">
        <v>1040</v>
      </c>
    </row>
    <row r="69" spans="1:19" x14ac:dyDescent="0.3">
      <c r="H69" s="24" t="s">
        <v>1045</v>
      </c>
      <c r="I69" t="s">
        <v>999</v>
      </c>
      <c r="J69" t="s">
        <v>998</v>
      </c>
      <c r="K69" t="s">
        <v>1046</v>
      </c>
      <c r="R69" s="25">
        <v>2</v>
      </c>
      <c r="S69" s="21">
        <v>10</v>
      </c>
    </row>
    <row r="70" spans="1:19" x14ac:dyDescent="0.3">
      <c r="H70" s="25" t="s">
        <v>1002</v>
      </c>
      <c r="I70" s="21">
        <v>144</v>
      </c>
      <c r="J70" s="21">
        <v>132</v>
      </c>
      <c r="K70" s="21">
        <v>276</v>
      </c>
      <c r="R70" s="25">
        <v>3</v>
      </c>
      <c r="S70" s="21">
        <v>44</v>
      </c>
    </row>
    <row r="71" spans="1:19" x14ac:dyDescent="0.3">
      <c r="H71" s="25" t="s">
        <v>1001</v>
      </c>
      <c r="I71" s="21">
        <v>326</v>
      </c>
      <c r="J71" s="21">
        <v>63</v>
      </c>
      <c r="K71" s="21">
        <v>389</v>
      </c>
      <c r="R71" s="25">
        <v>4</v>
      </c>
      <c r="S71" s="21">
        <v>95</v>
      </c>
    </row>
    <row r="72" spans="1:19" x14ac:dyDescent="0.3">
      <c r="A72" t="s">
        <v>1075</v>
      </c>
      <c r="H72" s="25" t="s">
        <v>1000</v>
      </c>
      <c r="I72" s="21">
        <v>129</v>
      </c>
      <c r="J72" s="21">
        <v>206</v>
      </c>
      <c r="K72" s="21">
        <v>335</v>
      </c>
      <c r="R72" s="25">
        <v>5</v>
      </c>
      <c r="S72" s="21">
        <v>51</v>
      </c>
    </row>
    <row r="73" spans="1:19" x14ac:dyDescent="0.3">
      <c r="A73">
        <v>3885.4000000000033</v>
      </c>
      <c r="H73" s="25" t="s">
        <v>1046</v>
      </c>
      <c r="I73" s="21">
        <v>599</v>
      </c>
      <c r="J73" s="21">
        <v>401</v>
      </c>
      <c r="K73" s="21">
        <v>1000</v>
      </c>
      <c r="R73" s="25" t="s">
        <v>1046</v>
      </c>
      <c r="S73" s="21">
        <v>200</v>
      </c>
    </row>
    <row r="79" spans="1:19" x14ac:dyDescent="0.3">
      <c r="B79" s="24" t="s">
        <v>1041</v>
      </c>
      <c r="C79" s="24" t="s">
        <v>1074</v>
      </c>
    </row>
    <row r="80" spans="1:19" x14ac:dyDescent="0.3">
      <c r="B80" s="24" t="s">
        <v>1045</v>
      </c>
      <c r="C80" t="s">
        <v>11</v>
      </c>
      <c r="D80" t="s">
        <v>9</v>
      </c>
      <c r="E80" t="s">
        <v>6</v>
      </c>
      <c r="F80" t="s">
        <v>13</v>
      </c>
      <c r="G80" t="s">
        <v>10</v>
      </c>
      <c r="H80" t="s">
        <v>1046</v>
      </c>
    </row>
    <row r="81" spans="2:8" x14ac:dyDescent="0.3">
      <c r="B81" s="25" t="s">
        <v>1002</v>
      </c>
    </row>
    <row r="82" spans="2:8" x14ac:dyDescent="0.3">
      <c r="B82" s="29" t="s">
        <v>20</v>
      </c>
      <c r="C82" s="22">
        <v>891</v>
      </c>
      <c r="D82" s="22">
        <v>1332</v>
      </c>
      <c r="E82" s="22">
        <v>1282</v>
      </c>
      <c r="F82" s="22">
        <v>739</v>
      </c>
      <c r="G82" s="22">
        <v>560</v>
      </c>
      <c r="H82" s="22">
        <v>4804</v>
      </c>
    </row>
    <row r="83" spans="2:8" x14ac:dyDescent="0.3">
      <c r="B83" s="29" t="s">
        <v>12</v>
      </c>
      <c r="C83" s="22">
        <v>1991</v>
      </c>
      <c r="D83" s="22">
        <v>1886</v>
      </c>
      <c r="E83" s="22">
        <v>1206</v>
      </c>
      <c r="F83" s="22">
        <v>884</v>
      </c>
      <c r="G83" s="22">
        <v>1722</v>
      </c>
      <c r="H83" s="22">
        <v>7689</v>
      </c>
    </row>
    <row r="84" spans="2:8" x14ac:dyDescent="0.3">
      <c r="B84" s="29" t="s">
        <v>8</v>
      </c>
      <c r="C84" s="22">
        <v>1163</v>
      </c>
      <c r="D84" s="22">
        <v>1180</v>
      </c>
      <c r="E84" s="22">
        <v>1616</v>
      </c>
      <c r="F84" s="22">
        <v>1043</v>
      </c>
      <c r="G84" s="22">
        <v>1747</v>
      </c>
      <c r="H84" s="22">
        <v>6749</v>
      </c>
    </row>
    <row r="85" spans="2:8" x14ac:dyDescent="0.3">
      <c r="B85" s="29" t="s">
        <v>16</v>
      </c>
      <c r="C85" s="22">
        <v>1438</v>
      </c>
      <c r="D85" s="22">
        <v>1616</v>
      </c>
      <c r="E85" s="22">
        <v>866</v>
      </c>
      <c r="F85" s="22">
        <v>829</v>
      </c>
      <c r="G85" s="22">
        <v>2070</v>
      </c>
      <c r="H85" s="22">
        <v>6819</v>
      </c>
    </row>
    <row r="86" spans="2:8" x14ac:dyDescent="0.3">
      <c r="B86" s="25" t="s">
        <v>1001</v>
      </c>
    </row>
    <row r="87" spans="2:8" x14ac:dyDescent="0.3">
      <c r="B87" s="29" t="s">
        <v>24</v>
      </c>
      <c r="C87" s="22">
        <v>1233</v>
      </c>
      <c r="D87" s="22">
        <v>223</v>
      </c>
      <c r="E87" s="22">
        <v>1680</v>
      </c>
      <c r="F87" s="22">
        <v>990</v>
      </c>
      <c r="G87" s="22">
        <v>1508</v>
      </c>
      <c r="H87" s="22">
        <v>5634</v>
      </c>
    </row>
    <row r="88" spans="2:8" x14ac:dyDescent="0.3">
      <c r="B88" s="29" t="s">
        <v>15</v>
      </c>
      <c r="C88" s="22">
        <v>1598</v>
      </c>
      <c r="D88" s="22">
        <v>1907</v>
      </c>
      <c r="E88" s="22">
        <v>869</v>
      </c>
      <c r="F88" s="22">
        <v>1426</v>
      </c>
      <c r="G88" s="22">
        <v>1416</v>
      </c>
      <c r="H88" s="22">
        <v>7216</v>
      </c>
    </row>
    <row r="89" spans="2:8" x14ac:dyDescent="0.3">
      <c r="B89" s="29" t="s">
        <v>5</v>
      </c>
      <c r="C89" s="22">
        <v>900</v>
      </c>
      <c r="D89" s="22">
        <v>1016</v>
      </c>
      <c r="E89" s="22">
        <v>960</v>
      </c>
      <c r="F89" s="22">
        <v>940</v>
      </c>
      <c r="G89" s="22">
        <v>1193</v>
      </c>
      <c r="H89" s="22">
        <v>5009</v>
      </c>
    </row>
    <row r="90" spans="2:8" x14ac:dyDescent="0.3">
      <c r="B90" s="29" t="s">
        <v>18</v>
      </c>
      <c r="C90" s="22">
        <v>900</v>
      </c>
      <c r="D90" s="22">
        <v>1470</v>
      </c>
      <c r="E90" s="22">
        <v>1617</v>
      </c>
      <c r="F90" s="22">
        <v>1314</v>
      </c>
      <c r="G90" s="22">
        <v>941</v>
      </c>
      <c r="H90" s="22">
        <v>6242</v>
      </c>
    </row>
    <row r="91" spans="2:8" x14ac:dyDescent="0.3">
      <c r="B91" s="29" t="s">
        <v>14</v>
      </c>
      <c r="C91" s="22">
        <v>1255</v>
      </c>
      <c r="D91" s="22">
        <v>516</v>
      </c>
      <c r="E91" s="22">
        <v>1874</v>
      </c>
      <c r="F91" s="22">
        <v>1863</v>
      </c>
      <c r="G91" s="22">
        <v>1722</v>
      </c>
      <c r="H91" s="22">
        <v>7230</v>
      </c>
    </row>
    <row r="92" spans="2:8" x14ac:dyDescent="0.3">
      <c r="B92" s="29" t="s">
        <v>19</v>
      </c>
      <c r="C92" s="22">
        <v>1138</v>
      </c>
      <c r="D92" s="22">
        <v>1898</v>
      </c>
      <c r="E92" s="22">
        <v>1482</v>
      </c>
      <c r="F92" s="22">
        <v>846</v>
      </c>
      <c r="G92" s="22">
        <v>1154</v>
      </c>
      <c r="H92" s="22">
        <v>6518</v>
      </c>
    </row>
    <row r="93" spans="2:8" x14ac:dyDescent="0.3">
      <c r="B93" s="25" t="s">
        <v>1000</v>
      </c>
    </row>
    <row r="94" spans="2:8" x14ac:dyDescent="0.3">
      <c r="B94" s="29" t="s">
        <v>17</v>
      </c>
      <c r="C94" s="22">
        <v>1655</v>
      </c>
      <c r="D94" s="22">
        <v>805</v>
      </c>
      <c r="E94" s="22">
        <v>2263</v>
      </c>
      <c r="F94" s="22">
        <v>987</v>
      </c>
      <c r="G94" s="22">
        <v>1075</v>
      </c>
      <c r="H94" s="22">
        <v>6785</v>
      </c>
    </row>
    <row r="95" spans="2:8" x14ac:dyDescent="0.3">
      <c r="B95" s="29" t="s">
        <v>23</v>
      </c>
      <c r="C95" s="22">
        <v>1104</v>
      </c>
      <c r="D95" s="22">
        <v>2280</v>
      </c>
      <c r="E95" s="22">
        <v>1445</v>
      </c>
      <c r="F95" s="22">
        <v>1722</v>
      </c>
      <c r="G95" s="22">
        <v>1196</v>
      </c>
      <c r="H95" s="22">
        <v>7747</v>
      </c>
    </row>
    <row r="96" spans="2:8" x14ac:dyDescent="0.3">
      <c r="B96" s="29" t="s">
        <v>7</v>
      </c>
      <c r="C96" s="22">
        <v>372</v>
      </c>
      <c r="D96" s="22">
        <v>1818</v>
      </c>
      <c r="E96" s="22">
        <v>1346</v>
      </c>
      <c r="F96" s="22">
        <v>1156</v>
      </c>
      <c r="G96" s="22">
        <v>1484</v>
      </c>
      <c r="H96" s="22">
        <v>6176</v>
      </c>
    </row>
    <row r="97" spans="2:8" x14ac:dyDescent="0.3">
      <c r="B97" s="29" t="s">
        <v>22</v>
      </c>
      <c r="C97" s="22">
        <v>1415</v>
      </c>
      <c r="D97" s="22">
        <v>1271</v>
      </c>
      <c r="E97" s="22">
        <v>1214</v>
      </c>
      <c r="F97" s="22">
        <v>1135</v>
      </c>
      <c r="G97" s="22">
        <v>1566</v>
      </c>
      <c r="H97" s="22">
        <v>6601</v>
      </c>
    </row>
    <row r="98" spans="2:8" x14ac:dyDescent="0.3">
      <c r="B98" s="29" t="s">
        <v>21</v>
      </c>
      <c r="C98" s="22">
        <v>1362</v>
      </c>
      <c r="D98" s="22">
        <v>1363</v>
      </c>
      <c r="E98" s="22">
        <v>1152</v>
      </c>
      <c r="F98" s="22">
        <v>777</v>
      </c>
      <c r="G98" s="22">
        <v>750</v>
      </c>
      <c r="H98"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L1011" sqref="L1011"/>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F59F3-2963-44C8-8A4B-9477C8D0A2C2}">
  <dimension ref="P21:V39"/>
  <sheetViews>
    <sheetView zoomScale="80" zoomScaleNormal="100" workbookViewId="0">
      <selection activeCell="O36" sqref="O36"/>
    </sheetView>
  </sheetViews>
  <sheetFormatPr defaultRowHeight="14.4" x14ac:dyDescent="0.3"/>
  <cols>
    <col min="1" max="1" width="3.796875" style="20" customWidth="1"/>
    <col min="2" max="2" width="2.8984375" style="20" customWidth="1"/>
    <col min="3" max="16" width="8.796875" style="20"/>
    <col min="17" max="17" width="12.5" style="20" customWidth="1"/>
    <col min="18" max="16384" width="8.796875" style="20"/>
  </cols>
  <sheetData>
    <row r="21" spans="16:22" x14ac:dyDescent="0.3">
      <c r="P21" s="30"/>
      <c r="Q21" s="31" t="str" cm="1">
        <f t="array" ref="Q21:U21">Pivorts!C80:G80</f>
        <v>R01</v>
      </c>
      <c r="R21" s="31" t="str">
        <v>R02</v>
      </c>
      <c r="S21" s="31" t="str">
        <v>R03</v>
      </c>
      <c r="T21" s="31" t="str">
        <v>R04</v>
      </c>
      <c r="U21" s="31" t="str">
        <v>R05</v>
      </c>
      <c r="V21" s="32" t="s">
        <v>1076</v>
      </c>
    </row>
    <row r="22" spans="16:22" x14ac:dyDescent="0.3">
      <c r="P22" s="33" t="str" cm="1">
        <f t="array" ref="P22:V39">IF(Pivorts!B81:H98="","",Pivorts!B81:H98)</f>
        <v>Cincinnati</v>
      </c>
      <c r="Q22" s="34" t="str">
        <v/>
      </c>
      <c r="R22" s="34" t="str">
        <v/>
      </c>
      <c r="S22" s="34" t="str">
        <v/>
      </c>
      <c r="T22" s="34" t="str">
        <v/>
      </c>
      <c r="U22" s="34" t="str">
        <v/>
      </c>
      <c r="V22" s="35" t="str">
        <v/>
      </c>
    </row>
    <row r="23" spans="16:22" x14ac:dyDescent="0.3">
      <c r="P23" s="36" t="str">
        <v>C0003</v>
      </c>
      <c r="Q23" s="37">
        <v>891</v>
      </c>
      <c r="R23" s="37">
        <v>1332</v>
      </c>
      <c r="S23" s="37">
        <v>1282</v>
      </c>
      <c r="T23" s="37">
        <v>739</v>
      </c>
      <c r="U23" s="37">
        <v>560</v>
      </c>
      <c r="V23" s="38">
        <v>4804</v>
      </c>
    </row>
    <row r="24" spans="16:22" x14ac:dyDescent="0.3">
      <c r="P24" s="36" t="str">
        <v>C0004</v>
      </c>
      <c r="Q24" s="37">
        <v>1991</v>
      </c>
      <c r="R24" s="37">
        <v>1886</v>
      </c>
      <c r="S24" s="37">
        <v>1206</v>
      </c>
      <c r="T24" s="37">
        <v>884</v>
      </c>
      <c r="U24" s="37">
        <v>1722</v>
      </c>
      <c r="V24" s="38">
        <v>7689</v>
      </c>
    </row>
    <row r="25" spans="16:22" x14ac:dyDescent="0.3">
      <c r="P25" s="36" t="str">
        <v>C0011</v>
      </c>
      <c r="Q25" s="37">
        <v>1163</v>
      </c>
      <c r="R25" s="37">
        <v>1180</v>
      </c>
      <c r="S25" s="37">
        <v>1616</v>
      </c>
      <c r="T25" s="37">
        <v>1043</v>
      </c>
      <c r="U25" s="37">
        <v>1747</v>
      </c>
      <c r="V25" s="38">
        <v>6749</v>
      </c>
    </row>
    <row r="26" spans="16:22" x14ac:dyDescent="0.3">
      <c r="P26" s="36" t="str">
        <v>C0012</v>
      </c>
      <c r="Q26" s="37">
        <v>1438</v>
      </c>
      <c r="R26" s="37">
        <v>1616</v>
      </c>
      <c r="S26" s="37">
        <v>866</v>
      </c>
      <c r="T26" s="37">
        <v>829</v>
      </c>
      <c r="U26" s="37">
        <v>2070</v>
      </c>
      <c r="V26" s="38">
        <v>6819</v>
      </c>
    </row>
    <row r="27" spans="16:22" x14ac:dyDescent="0.3">
      <c r="P27" s="33" t="str">
        <v>Cleveland</v>
      </c>
      <c r="Q27" s="37" t="str">
        <v/>
      </c>
      <c r="R27" s="37" t="str">
        <v/>
      </c>
      <c r="S27" s="37" t="str">
        <v/>
      </c>
      <c r="T27" s="37" t="str">
        <v/>
      </c>
      <c r="U27" s="37" t="str">
        <v/>
      </c>
      <c r="V27" s="38" t="str">
        <v/>
      </c>
    </row>
    <row r="28" spans="16:22" x14ac:dyDescent="0.3">
      <c r="P28" s="36" t="str">
        <v>C0002</v>
      </c>
      <c r="Q28" s="37">
        <v>1233</v>
      </c>
      <c r="R28" s="37">
        <v>223</v>
      </c>
      <c r="S28" s="37">
        <v>1680</v>
      </c>
      <c r="T28" s="37">
        <v>990</v>
      </c>
      <c r="U28" s="37">
        <v>1508</v>
      </c>
      <c r="V28" s="38">
        <v>5634</v>
      </c>
    </row>
    <row r="29" spans="16:22" x14ac:dyDescent="0.3">
      <c r="P29" s="36" t="str">
        <v>C0007</v>
      </c>
      <c r="Q29" s="37">
        <v>1598</v>
      </c>
      <c r="R29" s="37">
        <v>1907</v>
      </c>
      <c r="S29" s="37">
        <v>869</v>
      </c>
      <c r="T29" s="37">
        <v>1426</v>
      </c>
      <c r="U29" s="37">
        <v>1416</v>
      </c>
      <c r="V29" s="38">
        <v>7216</v>
      </c>
    </row>
    <row r="30" spans="16:22" x14ac:dyDescent="0.3">
      <c r="P30" s="36" t="str">
        <v>C0008</v>
      </c>
      <c r="Q30" s="37">
        <v>900</v>
      </c>
      <c r="R30" s="37">
        <v>1016</v>
      </c>
      <c r="S30" s="37">
        <v>960</v>
      </c>
      <c r="T30" s="37">
        <v>940</v>
      </c>
      <c r="U30" s="37">
        <v>1193</v>
      </c>
      <c r="V30" s="38">
        <v>5009</v>
      </c>
    </row>
    <row r="31" spans="16:22" x14ac:dyDescent="0.3">
      <c r="P31" s="36" t="str">
        <v>C0010</v>
      </c>
      <c r="Q31" s="37">
        <v>900</v>
      </c>
      <c r="R31" s="37">
        <v>1470</v>
      </c>
      <c r="S31" s="37">
        <v>1617</v>
      </c>
      <c r="T31" s="37">
        <v>1314</v>
      </c>
      <c r="U31" s="37">
        <v>941</v>
      </c>
      <c r="V31" s="38">
        <v>6242</v>
      </c>
    </row>
    <row r="32" spans="16:22" x14ac:dyDescent="0.3">
      <c r="P32" s="36" t="str">
        <v>C0013</v>
      </c>
      <c r="Q32" s="37">
        <v>1255</v>
      </c>
      <c r="R32" s="37">
        <v>516</v>
      </c>
      <c r="S32" s="37">
        <v>1874</v>
      </c>
      <c r="T32" s="37">
        <v>1863</v>
      </c>
      <c r="U32" s="37">
        <v>1722</v>
      </c>
      <c r="V32" s="38">
        <v>7230</v>
      </c>
    </row>
    <row r="33" spans="16:22" x14ac:dyDescent="0.3">
      <c r="P33" s="36" t="str">
        <v>C0015</v>
      </c>
      <c r="Q33" s="37">
        <v>1138</v>
      </c>
      <c r="R33" s="37">
        <v>1898</v>
      </c>
      <c r="S33" s="37">
        <v>1482</v>
      </c>
      <c r="T33" s="37">
        <v>846</v>
      </c>
      <c r="U33" s="37">
        <v>1154</v>
      </c>
      <c r="V33" s="38">
        <v>6518</v>
      </c>
    </row>
    <row r="34" spans="16:22" x14ac:dyDescent="0.3">
      <c r="P34" s="33" t="str">
        <v>Columbus</v>
      </c>
      <c r="Q34" s="37" t="str">
        <v/>
      </c>
      <c r="R34" s="37" t="str">
        <v/>
      </c>
      <c r="S34" s="37" t="str">
        <v/>
      </c>
      <c r="T34" s="37" t="str">
        <v/>
      </c>
      <c r="U34" s="37" t="str">
        <v/>
      </c>
      <c r="V34" s="38" t="str">
        <v/>
      </c>
    </row>
    <row r="35" spans="16:22" x14ac:dyDescent="0.3">
      <c r="P35" s="36" t="str">
        <v>C0001</v>
      </c>
      <c r="Q35" s="37">
        <v>1655</v>
      </c>
      <c r="R35" s="37">
        <v>805</v>
      </c>
      <c r="S35" s="37">
        <v>2263</v>
      </c>
      <c r="T35" s="37">
        <v>987</v>
      </c>
      <c r="U35" s="37">
        <v>1075</v>
      </c>
      <c r="V35" s="38">
        <v>6785</v>
      </c>
    </row>
    <row r="36" spans="16:22" x14ac:dyDescent="0.3">
      <c r="P36" s="36" t="str">
        <v>C0005</v>
      </c>
      <c r="Q36" s="37">
        <v>1104</v>
      </c>
      <c r="R36" s="37">
        <v>2280</v>
      </c>
      <c r="S36" s="37">
        <v>1445</v>
      </c>
      <c r="T36" s="37">
        <v>1722</v>
      </c>
      <c r="U36" s="37">
        <v>1196</v>
      </c>
      <c r="V36" s="38">
        <v>7747</v>
      </c>
    </row>
    <row r="37" spans="16:22" x14ac:dyDescent="0.3">
      <c r="P37" s="36" t="str">
        <v>C0006</v>
      </c>
      <c r="Q37" s="37">
        <v>372</v>
      </c>
      <c r="R37" s="37">
        <v>1818</v>
      </c>
      <c r="S37" s="37">
        <v>1346</v>
      </c>
      <c r="T37" s="37">
        <v>1156</v>
      </c>
      <c r="U37" s="37">
        <v>1484</v>
      </c>
      <c r="V37" s="38">
        <v>6176</v>
      </c>
    </row>
    <row r="38" spans="16:22" x14ac:dyDescent="0.3">
      <c r="P38" s="36" t="str">
        <v>C0009</v>
      </c>
      <c r="Q38" s="37">
        <v>1415</v>
      </c>
      <c r="R38" s="37">
        <v>1271</v>
      </c>
      <c r="S38" s="37">
        <v>1214</v>
      </c>
      <c r="T38" s="37">
        <v>1135</v>
      </c>
      <c r="U38" s="37">
        <v>1566</v>
      </c>
      <c r="V38" s="38">
        <v>6601</v>
      </c>
    </row>
    <row r="39" spans="16:22" x14ac:dyDescent="0.3">
      <c r="P39" s="39" t="str">
        <v>C0014</v>
      </c>
      <c r="Q39" s="40">
        <v>1362</v>
      </c>
      <c r="R39" s="40">
        <v>1363</v>
      </c>
      <c r="S39" s="40">
        <v>1152</v>
      </c>
      <c r="T39" s="40">
        <v>777</v>
      </c>
      <c r="U39" s="40">
        <v>750</v>
      </c>
      <c r="V39" s="41">
        <v>5404</v>
      </c>
    </row>
  </sheetData>
  <conditionalFormatting sqref="Q23:U39">
    <cfRule type="dataBar" priority="2">
      <dataBar>
        <cfvo type="num" val="0"/>
        <cfvo type="formula" val="MAX($Q$23:$U$39)*2"/>
        <color theme="1" tint="0.14999847407452621"/>
      </dataBar>
      <extLst>
        <ext xmlns:x14="http://schemas.microsoft.com/office/spreadsheetml/2009/9/main" uri="{B025F937-C7B1-47D3-B67F-A62EFF666E3E}">
          <x14:id>{2D3C1B87-2900-4DD4-8756-31C99A5F83E8}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7E904274-7FE1-4F25-A9FC-4D035F14F550}">
            <xm:f>Q$21=Pivorts!$A$64</xm:f>
            <x14:dxf>
              <fill>
                <patternFill>
                  <bgColor theme="9" tint="0.59996337778862885"/>
                </patternFill>
              </fill>
              <border>
                <left style="thin">
                  <color theme="1" tint="0.34998626667073579"/>
                </left>
                <right style="thin">
                  <color theme="1" tint="0.34998626667073579"/>
                </right>
                <vertical/>
                <horizontal/>
              </border>
            </x14:dxf>
          </x14:cfRule>
          <xm:sqref>Q21:U39</xm:sqref>
        </x14:conditionalFormatting>
        <x14:conditionalFormatting xmlns:xm="http://schemas.microsoft.com/office/excel/2006/main">
          <x14:cfRule type="dataBar" id="{2D3C1B87-2900-4DD4-8756-31C99A5F83E8}">
            <x14:dataBar minLength="0" maxLength="100" border="1" negativeBarBorderColorSameAsPositive="0">
              <x14:cfvo type="num">
                <xm:f>0</xm:f>
              </x14:cfvo>
              <x14:cfvo type="formula">
                <xm:f>MAX($Q$23:$U$39)*2</xm:f>
              </x14:cfvo>
              <x14:borderColor rgb="FF638EC6"/>
              <x14:negativeFillColor rgb="FFFF0000"/>
              <x14:negativeBorderColor rgb="FFFF0000"/>
              <x14:axisColor rgb="FF000000"/>
            </x14:dataBar>
          </x14:cfRule>
          <xm:sqref>Q23:U39</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Pivorts</vt:lpstr>
      <vt:lpstr>Data</vt:lpstr>
      <vt:lpstr>Customer Centre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Shubham Shukla</cp:lastModifiedBy>
  <dcterms:created xsi:type="dcterms:W3CDTF">2021-03-14T20:21:32Z</dcterms:created>
  <dcterms:modified xsi:type="dcterms:W3CDTF">2026-05-31T16:00:08Z</dcterms:modified>
</cp:coreProperties>
</file>